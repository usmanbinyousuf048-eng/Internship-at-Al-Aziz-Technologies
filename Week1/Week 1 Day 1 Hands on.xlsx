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bc\Desktop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1" l="1"/>
  <c r="H2" i="1"/>
  <c r="H3" i="1"/>
  <c r="F3" i="1" s="1"/>
  <c r="H4" i="1"/>
  <c r="F4" i="1" s="1"/>
  <c r="H5" i="1"/>
  <c r="F5" i="1" s="1"/>
  <c r="H6" i="1"/>
  <c r="F6" i="1" s="1"/>
  <c r="H7" i="1"/>
  <c r="F7" i="1" s="1"/>
  <c r="H8" i="1"/>
  <c r="F8" i="1" s="1"/>
  <c r="H9" i="1"/>
  <c r="F9" i="1" s="1"/>
  <c r="H10" i="1"/>
  <c r="F10" i="1" s="1"/>
  <c r="H11" i="1"/>
  <c r="F11" i="1" s="1"/>
  <c r="L2" i="1" l="1"/>
  <c r="K2" i="1"/>
  <c r="N2" i="1"/>
  <c r="I2" i="1"/>
  <c r="F2" i="1"/>
</calcChain>
</file>

<file path=xl/sharedStrings.xml><?xml version="1.0" encoding="utf-8"?>
<sst xmlns="http://schemas.openxmlformats.org/spreadsheetml/2006/main" count="44" uniqueCount="23">
  <si>
    <t>Ali</t>
  </si>
  <si>
    <t>Ahmed</t>
  </si>
  <si>
    <t>Sara</t>
  </si>
  <si>
    <t>Date</t>
  </si>
  <si>
    <t>Salesperson</t>
  </si>
  <si>
    <t>Product</t>
  </si>
  <si>
    <t>Region</t>
  </si>
  <si>
    <t>Units Sold</t>
  </si>
  <si>
    <t>Unit Price</t>
  </si>
  <si>
    <t>Laptop</t>
  </si>
  <si>
    <t>Karachi</t>
  </si>
  <si>
    <t>Mouse</t>
  </si>
  <si>
    <t>Lahore</t>
  </si>
  <si>
    <t>Keyboard</t>
  </si>
  <si>
    <t>Monitor</t>
  </si>
  <si>
    <t>Islamabad</t>
  </si>
  <si>
    <t>Total Sales</t>
  </si>
  <si>
    <t>Total Units Sold</t>
  </si>
  <si>
    <t>Average Units sold</t>
  </si>
  <si>
    <t>Minimum sales</t>
  </si>
  <si>
    <t>Maximum Sales</t>
  </si>
  <si>
    <t>tax rate</t>
  </si>
  <si>
    <t>tax for each transaction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</si>
</sst>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#,##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8" fontId="0" fillId="0" borderId="0" xfId="0" applyNumberFormat="1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15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numFmt numFmtId="0" formatCode="General"/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numFmt numFmtId="20" formatCode="d\-mmm\-yy"/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11" totalsRowShown="0" headerRowDxfId="1" dataDxfId="0">
  <autoFilter ref="A1:H11"/>
  <tableColumns count="8">
    <tableColumn id="1" name="Date" dataDxfId="9"/>
    <tableColumn id="2" name="Salesperson" dataDxfId="8"/>
    <tableColumn id="3" name="Product" dataDxfId="7"/>
    <tableColumn id="4" name="Region" dataDxfId="6"/>
    <tableColumn id="5" name="Units Sold" dataDxfId="5"/>
    <tableColumn id="13" name="tax for each transaction" dataDxfId="4">
      <calculatedColumnFormula>H2*$M$2</calculatedColumnFormula>
    </tableColumn>
    <tableColumn id="6" name="Unit Price" dataDxfId="3"/>
    <tableColumn id="14" name="Total Sales" dataDxfId="2">
      <calculatedColumnFormula>Table1[[#This Row],[Units Sold]]*Table1[[#This Row],[Unit Price]]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tabSelected="1" workbookViewId="0">
      <selection activeCell="G14" sqref="G14"/>
    </sheetView>
  </sheetViews>
  <sheetFormatPr defaultRowHeight="15" x14ac:dyDescent="0.25"/>
  <cols>
    <col min="1" max="1" width="11.85546875" customWidth="1"/>
    <col min="2" max="2" width="13.85546875" customWidth="1"/>
    <col min="3" max="3" width="10" customWidth="1"/>
    <col min="4" max="4" width="9.28515625" customWidth="1"/>
    <col min="5" max="6" width="12.140625" customWidth="1"/>
    <col min="7" max="7" width="11.85546875" customWidth="1"/>
    <col min="8" max="8" width="10.7109375" customWidth="1"/>
    <col min="9" max="9" width="19.5703125" customWidth="1"/>
    <col min="10" max="10" width="21.85546875" style="1" customWidth="1"/>
    <col min="11" max="11" width="18.42578125" customWidth="1"/>
    <col min="12" max="12" width="17.7109375" customWidth="1"/>
    <col min="14" max="14" width="24.85546875" customWidth="1"/>
  </cols>
  <sheetData>
    <row r="1" spans="1:14" ht="28.5" x14ac:dyDescent="0.25">
      <c r="A1" s="5" t="s">
        <v>3</v>
      </c>
      <c r="B1" s="5" t="s">
        <v>4</v>
      </c>
      <c r="C1" s="5" t="s">
        <v>5</v>
      </c>
      <c r="D1" s="5" t="s">
        <v>6</v>
      </c>
      <c r="E1" s="6" t="s">
        <v>7</v>
      </c>
      <c r="F1" s="6" t="s">
        <v>22</v>
      </c>
      <c r="G1" s="6" t="s">
        <v>8</v>
      </c>
      <c r="H1" s="5" t="s">
        <v>16</v>
      </c>
      <c r="I1" s="4" t="s">
        <v>17</v>
      </c>
      <c r="J1" s="4" t="s">
        <v>18</v>
      </c>
      <c r="K1" s="4" t="s">
        <v>19</v>
      </c>
      <c r="L1" s="4" t="s">
        <v>20</v>
      </c>
      <c r="M1" s="4" t="s">
        <v>21</v>
      </c>
      <c r="N1" s="4" t="s">
        <v>22</v>
      </c>
    </row>
    <row r="2" spans="1:14" x14ac:dyDescent="0.25">
      <c r="A2" s="7">
        <v>46266</v>
      </c>
      <c r="B2" s="8" t="s">
        <v>0</v>
      </c>
      <c r="C2" s="8" t="s">
        <v>9</v>
      </c>
      <c r="D2" s="8" t="s">
        <v>10</v>
      </c>
      <c r="E2" s="9">
        <v>3</v>
      </c>
      <c r="F2" s="9">
        <f t="shared" ref="F2:F11" si="0">H2*$M$2</f>
        <v>24000</v>
      </c>
      <c r="G2" s="9">
        <v>80000</v>
      </c>
      <c r="H2" s="8">
        <f>Table1[[#This Row],[Units Sold]]*Table1[[#This Row],[Unit Price]]</f>
        <v>240000</v>
      </c>
      <c r="I2" s="2">
        <f>SUM(H2:H11)</f>
        <v>850000</v>
      </c>
      <c r="J2" s="2">
        <f>AVERAGE(E2:E11)</f>
        <v>6.5</v>
      </c>
      <c r="K2" s="2">
        <f>MIN(H2:H11)</f>
        <v>25000</v>
      </c>
      <c r="L2" s="2">
        <f>MAX(H2:H11)</f>
        <v>240000</v>
      </c>
      <c r="M2" s="3">
        <v>0.1</v>
      </c>
      <c r="N2" s="2">
        <f>H2*$M$2</f>
        <v>24000</v>
      </c>
    </row>
    <row r="3" spans="1:14" x14ac:dyDescent="0.25">
      <c r="A3" s="7">
        <v>46267</v>
      </c>
      <c r="B3" s="8" t="s">
        <v>2</v>
      </c>
      <c r="C3" s="8" t="s">
        <v>11</v>
      </c>
      <c r="D3" s="8" t="s">
        <v>12</v>
      </c>
      <c r="E3" s="9">
        <v>10</v>
      </c>
      <c r="F3" s="9">
        <f t="shared" si="0"/>
        <v>2500</v>
      </c>
      <c r="G3" s="9">
        <v>2500</v>
      </c>
      <c r="H3" s="8">
        <f>Table1[[#This Row],[Units Sold]]*Table1[[#This Row],[Unit Price]]</f>
        <v>25000</v>
      </c>
      <c r="J3"/>
    </row>
    <row r="4" spans="1:14" x14ac:dyDescent="0.25">
      <c r="A4" s="7">
        <v>46268</v>
      </c>
      <c r="B4" s="8" t="s">
        <v>1</v>
      </c>
      <c r="C4" s="8" t="s">
        <v>13</v>
      </c>
      <c r="D4" s="8" t="s">
        <v>10</v>
      </c>
      <c r="E4" s="9">
        <v>7</v>
      </c>
      <c r="F4" s="9">
        <f t="shared" si="0"/>
        <v>3150</v>
      </c>
      <c r="G4" s="9">
        <v>4500</v>
      </c>
      <c r="H4" s="8">
        <f>Table1[[#This Row],[Units Sold]]*Table1[[#This Row],[Unit Price]]</f>
        <v>31500</v>
      </c>
      <c r="J4"/>
    </row>
    <row r="5" spans="1:14" ht="30" x14ac:dyDescent="0.25">
      <c r="A5" s="7">
        <v>46269</v>
      </c>
      <c r="B5" s="8" t="s">
        <v>0</v>
      </c>
      <c r="C5" s="8" t="s">
        <v>14</v>
      </c>
      <c r="D5" s="8" t="s">
        <v>15</v>
      </c>
      <c r="E5" s="9">
        <v>4</v>
      </c>
      <c r="F5" s="9">
        <f t="shared" si="0"/>
        <v>12000</v>
      </c>
      <c r="G5" s="9">
        <v>30000</v>
      </c>
      <c r="H5" s="8">
        <f>Table1[[#This Row],[Units Sold]]*Table1[[#This Row],[Unit Price]]</f>
        <v>120000</v>
      </c>
      <c r="J5"/>
    </row>
    <row r="6" spans="1:14" x14ac:dyDescent="0.25">
      <c r="A6" s="7">
        <v>46270</v>
      </c>
      <c r="B6" s="8" t="s">
        <v>2</v>
      </c>
      <c r="C6" s="8" t="s">
        <v>9</v>
      </c>
      <c r="D6" s="8" t="s">
        <v>12</v>
      </c>
      <c r="E6" s="9">
        <v>2</v>
      </c>
      <c r="F6" s="9">
        <f t="shared" si="0"/>
        <v>16000</v>
      </c>
      <c r="G6" s="9">
        <v>80000</v>
      </c>
      <c r="H6" s="8">
        <f>Table1[[#This Row],[Units Sold]]*Table1[[#This Row],[Unit Price]]</f>
        <v>160000</v>
      </c>
      <c r="J6"/>
    </row>
    <row r="7" spans="1:14" x14ac:dyDescent="0.25">
      <c r="A7" s="7">
        <v>46271</v>
      </c>
      <c r="B7" s="8" t="s">
        <v>1</v>
      </c>
      <c r="C7" s="8" t="s">
        <v>11</v>
      </c>
      <c r="D7" s="8" t="s">
        <v>10</v>
      </c>
      <c r="E7" s="9">
        <v>15</v>
      </c>
      <c r="F7" s="9">
        <f t="shared" si="0"/>
        <v>3750</v>
      </c>
      <c r="G7" s="9">
        <v>2500</v>
      </c>
      <c r="H7" s="8">
        <f>Table1[[#This Row],[Units Sold]]*Table1[[#This Row],[Unit Price]]</f>
        <v>37500</v>
      </c>
      <c r="J7"/>
    </row>
    <row r="8" spans="1:14" ht="30" x14ac:dyDescent="0.25">
      <c r="A8" s="7">
        <v>46272</v>
      </c>
      <c r="B8" s="8" t="s">
        <v>0</v>
      </c>
      <c r="C8" s="8" t="s">
        <v>13</v>
      </c>
      <c r="D8" s="8" t="s">
        <v>15</v>
      </c>
      <c r="E8" s="9">
        <v>8</v>
      </c>
      <c r="F8" s="9">
        <f t="shared" si="0"/>
        <v>3600</v>
      </c>
      <c r="G8" s="9">
        <v>4500</v>
      </c>
      <c r="H8" s="8">
        <f>Table1[[#This Row],[Units Sold]]*Table1[[#This Row],[Unit Price]]</f>
        <v>36000</v>
      </c>
      <c r="J8"/>
    </row>
    <row r="9" spans="1:14" x14ac:dyDescent="0.25">
      <c r="A9" s="7">
        <v>46273</v>
      </c>
      <c r="B9" s="8" t="s">
        <v>2</v>
      </c>
      <c r="C9" s="8" t="s">
        <v>14</v>
      </c>
      <c r="D9" s="8" t="s">
        <v>12</v>
      </c>
      <c r="E9" s="9">
        <v>3</v>
      </c>
      <c r="F9" s="9">
        <f t="shared" si="0"/>
        <v>9000</v>
      </c>
      <c r="G9" s="9">
        <v>30000</v>
      </c>
      <c r="H9" s="8">
        <f>Table1[[#This Row],[Units Sold]]*Table1[[#This Row],[Unit Price]]</f>
        <v>90000</v>
      </c>
      <c r="J9"/>
    </row>
    <row r="10" spans="1:14" x14ac:dyDescent="0.25">
      <c r="A10" s="7">
        <v>46274</v>
      </c>
      <c r="B10" s="8" t="s">
        <v>1</v>
      </c>
      <c r="C10" s="8" t="s">
        <v>9</v>
      </c>
      <c r="D10" s="8" t="s">
        <v>10</v>
      </c>
      <c r="E10" s="9">
        <v>1</v>
      </c>
      <c r="F10" s="9">
        <f t="shared" si="0"/>
        <v>8000</v>
      </c>
      <c r="G10" s="9">
        <v>80000</v>
      </c>
      <c r="H10" s="8">
        <f>Table1[[#This Row],[Units Sold]]*Table1[[#This Row],[Unit Price]]</f>
        <v>80000</v>
      </c>
      <c r="J10"/>
    </row>
    <row r="11" spans="1:14" ht="30" x14ac:dyDescent="0.25">
      <c r="A11" s="7">
        <v>46275</v>
      </c>
      <c r="B11" s="8" t="s">
        <v>0</v>
      </c>
      <c r="C11" s="8" t="s">
        <v>11</v>
      </c>
      <c r="D11" s="8" t="s">
        <v>15</v>
      </c>
      <c r="E11" s="9">
        <v>12</v>
      </c>
      <c r="F11" s="9">
        <f t="shared" si="0"/>
        <v>3000</v>
      </c>
      <c r="G11" s="9">
        <v>2500</v>
      </c>
      <c r="H11" s="8">
        <f>Table1[[#This Row],[Units Sold]]*Table1[[#This Row],[Unit Price]]</f>
        <v>30000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2026-09-21T16:09:58Z</dcterms:created>
  <dcterms:modified xsi:type="dcterms:W3CDTF">2026-09-21T16:57:31Z</dcterms:modified>
</cp:coreProperties>
</file>
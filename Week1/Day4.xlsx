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240" yWindow="15" windowWidth="16095" windowHeight="9660" firstSheet="1" activeTab="4"/>
  </bookViews>
  <sheets>
    <sheet name="SalesBYRegion" sheetId="2" r:id="rId1"/>
    <sheet name="SalesByprods" sheetId="3" r:id="rId2"/>
    <sheet name="SalesByMonORdates" sheetId="4" r:id="rId3"/>
    <sheet name="unitsold" sheetId="5" r:id="rId4"/>
    <sheet name="Table" sheetId="1" r:id="rId5"/>
    <sheet name="Dashboard" sheetId="6" r:id="rId6"/>
  </sheets>
  <definedNames>
    <definedName name="NativeTimeline_Order_Date">#N/A</definedName>
  </definedNames>
  <calcPr calcId="162913"/>
  <pivotCaches>
    <pivotCache cacheId="0" r:id="rId7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6" l="1"/>
  <c r="H14" i="6"/>
  <c r="I6" i="6" l="1"/>
  <c r="C6" i="6"/>
</calcChain>
</file>

<file path=xl/sharedStrings.xml><?xml version="1.0" encoding="utf-8"?>
<sst xmlns="http://schemas.openxmlformats.org/spreadsheetml/2006/main" count="949" uniqueCount="246">
  <si>
    <t>Order ID</t>
  </si>
  <si>
    <t>Customer ID</t>
  </si>
  <si>
    <t>Customer Name</t>
  </si>
  <si>
    <t>Region</t>
  </si>
  <si>
    <t>Product</t>
  </si>
  <si>
    <t>Category</t>
  </si>
  <si>
    <t>Units</t>
  </si>
  <si>
    <t>Unit Price</t>
  </si>
  <si>
    <t>Discount</t>
  </si>
  <si>
    <t>Total Sales</t>
  </si>
  <si>
    <t>Order Date</t>
  </si>
  <si>
    <t>Salesperson</t>
  </si>
  <si>
    <t>ORD001</t>
  </si>
  <si>
    <t>C001</t>
  </si>
  <si>
    <t>Ali Khan</t>
  </si>
  <si>
    <t>Karachi</t>
  </si>
  <si>
    <t>Laptop</t>
  </si>
  <si>
    <t>Electronics</t>
  </si>
  <si>
    <t>Ali</t>
  </si>
  <si>
    <t>ORD002</t>
  </si>
  <si>
    <t>C002</t>
  </si>
  <si>
    <t>Sara Ahmed</t>
  </si>
  <si>
    <t>Lahore</t>
  </si>
  <si>
    <t>Mouse</t>
  </si>
  <si>
    <t>Accessories</t>
  </si>
  <si>
    <t>Ahmed</t>
  </si>
  <si>
    <t>ORD003</t>
  </si>
  <si>
    <t>C003</t>
  </si>
  <si>
    <t>Ahmed Raza</t>
  </si>
  <si>
    <t>Zain</t>
  </si>
  <si>
    <t>ORD004</t>
  </si>
  <si>
    <t>C004</t>
  </si>
  <si>
    <t>Hira Shah</t>
  </si>
  <si>
    <t>Islamabad</t>
  </si>
  <si>
    <t>Sara</t>
  </si>
  <si>
    <t>ORD005</t>
  </si>
  <si>
    <t>C005</t>
  </si>
  <si>
    <t>Zain Malik</t>
  </si>
  <si>
    <t>Hira</t>
  </si>
  <si>
    <t>ORD006</t>
  </si>
  <si>
    <t>C006</t>
  </si>
  <si>
    <t>Ayesha Noor</t>
  </si>
  <si>
    <t>ORD007</t>
  </si>
  <si>
    <t>C007</t>
  </si>
  <si>
    <t>Hamza Ali</t>
  </si>
  <si>
    <t>ORD008</t>
  </si>
  <si>
    <t>C008</t>
  </si>
  <si>
    <t>Fatima Noor</t>
  </si>
  <si>
    <t>Headphones</t>
  </si>
  <si>
    <t>ORD009</t>
  </si>
  <si>
    <t>C009</t>
  </si>
  <si>
    <t>Bilal Ahmed</t>
  </si>
  <si>
    <t>Monitor</t>
  </si>
  <si>
    <t>ORD010</t>
  </si>
  <si>
    <t>C010</t>
  </si>
  <si>
    <t>Maham Khan</t>
  </si>
  <si>
    <t>ORD011</t>
  </si>
  <si>
    <t>C011</t>
  </si>
  <si>
    <t>Usman Tariq</t>
  </si>
  <si>
    <t>ORD012</t>
  </si>
  <si>
    <t>C012</t>
  </si>
  <si>
    <t>Sana Iqbal</t>
  </si>
  <si>
    <t>ORD013</t>
  </si>
  <si>
    <t>ORD014</t>
  </si>
  <si>
    <t>ORD015</t>
  </si>
  <si>
    <t>Keyboard</t>
  </si>
  <si>
    <t>ORD016</t>
  </si>
  <si>
    <t>Printer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</si>
  <si>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</si>
  <si>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</si>
  <si>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</si>
  <si>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</si>
  <si>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</si>
  <si>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</si>
  <si>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</si>
  <si>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</si>
  <si>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</si>
  <si>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</si>
  <si>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</si>
  <si>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</si>
  <si>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</si>
  <si>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</si>
  <si>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</si>
  <si>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</si>
  <si>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</si>
  <si>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</si>
  <si>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</si>
  <si>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</si>
  <si>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</si>
  <si>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</si>
  <si>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</si>
  <si>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</si>
  <si>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</si>
  <si>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</si>
  <si>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</si>
  <si>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</si>
  <si>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</si>
  <si>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</si>
  <si>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</si>
  <si>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</si>
  <si>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</si>
  <si>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</si>
  <si>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</si>
  <si>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</si>
  <si>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</si>
  <si>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</si>
  <si>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</si>
  <si>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</si>
  <si>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</si>
  <si>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</si>
  <si>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</si>
  <si>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</si>
  <si>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</si>
  <si>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</si>
  <si>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</si>
  <si>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</si>
  <si>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</si>
  <si>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</si>
  <si>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</si>
  <si>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</si>
  <si>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</si>
  <si>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</si>
  <si>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</si>
  <si>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</si>
  <si>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</si>
  <si>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</si>
  <si>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</si>
  <si>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</si>
  <si>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</si>
  <si>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</si>
  <si>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</si>
  <si>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</si>
  <si>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</si>
  <si>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</si>
  <si>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</si>
  <si>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</si>
  <si>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</si>
  <si>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</si>
  <si>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</si>
  <si>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</si>
  <si>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</si>
  <si>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</si>
  <si>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</si>
  <si>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</si>
  <si>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</si>
  <si>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</si>
  <si>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</si>
  <si>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</si>
  <si>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</si>
  <si>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</si>
  <si>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</si>
  <si>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</si>
  <si>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</si>
  <si>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</si>
  <si>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</si>
  <si>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</si>
  <si>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</si>
  <si>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</si>
  <si>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</si>
  <si>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</si>
  <si>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</si>
  <si>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</si>
  <si>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</si>
  <si>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</si>
  <si>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</si>
  <si>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</si>
  <si>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</si>
  <si>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</si>
  <si>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</si>
  <si>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</si>
  <si>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</si>
  <si>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</si>
  <si>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Row Labels</t>
  </si>
  <si>
    <t>Grand Total</t>
  </si>
  <si>
    <t>Sum of Total Sales</t>
  </si>
  <si>
    <t>Jan</t>
  </si>
  <si>
    <t>10-Jan</t>
  </si>
  <si>
    <t>19-Jan</t>
  </si>
  <si>
    <t>28-Jan</t>
  </si>
  <si>
    <t>Feb</t>
  </si>
  <si>
    <t>15-Feb</t>
  </si>
  <si>
    <t>24-Feb</t>
  </si>
  <si>
    <t>Mar</t>
  </si>
  <si>
    <t>5-Mar</t>
  </si>
  <si>
    <t>23-Mar</t>
  </si>
  <si>
    <t>Apr</t>
  </si>
  <si>
    <t>1-Apr</t>
  </si>
  <si>
    <t>10-Apr</t>
  </si>
  <si>
    <t>28-Apr</t>
  </si>
  <si>
    <t>May</t>
  </si>
  <si>
    <t>7-May</t>
  </si>
  <si>
    <t>16-May</t>
  </si>
  <si>
    <t>Jun</t>
  </si>
  <si>
    <t>3-Jun</t>
  </si>
  <si>
    <t>12-Jun</t>
  </si>
  <si>
    <t>21-Jun</t>
  </si>
  <si>
    <t>1-Jan</t>
  </si>
  <si>
    <t>7-Jan</t>
  </si>
  <si>
    <t>16-Jan</t>
  </si>
  <si>
    <t>25-Jan</t>
  </si>
  <si>
    <t>3-Feb</t>
  </si>
  <si>
    <t>6-Feb</t>
  </si>
  <si>
    <t>12-Feb</t>
  </si>
  <si>
    <t>21-Feb</t>
  </si>
  <si>
    <t>2-Mar</t>
  </si>
  <si>
    <t>11-Mar</t>
  </si>
  <si>
    <t>14-Mar</t>
  </si>
  <si>
    <t>20-Mar</t>
  </si>
  <si>
    <t>29-Mar</t>
  </si>
  <si>
    <t>7-Apr</t>
  </si>
  <si>
    <t>16-Apr</t>
  </si>
  <si>
    <t>19-Apr</t>
  </si>
  <si>
    <t>25-Apr</t>
  </si>
  <si>
    <t>4-May</t>
  </si>
  <si>
    <t>13-May</t>
  </si>
  <si>
    <t>22-May</t>
  </si>
  <si>
    <t>25-May</t>
  </si>
  <si>
    <t>31-May</t>
  </si>
  <si>
    <t>9-Jun</t>
  </si>
  <si>
    <t>18-Jun</t>
  </si>
  <si>
    <t>27-Jun</t>
  </si>
  <si>
    <t>4-Jan</t>
  </si>
  <si>
    <t>13-Jan</t>
  </si>
  <si>
    <t>22-Jan</t>
  </si>
  <si>
    <t>31-Jan</t>
  </si>
  <si>
    <t>9-Feb</t>
  </si>
  <si>
    <t>18-Feb</t>
  </si>
  <si>
    <t>27-Feb</t>
  </si>
  <si>
    <t>8-Mar</t>
  </si>
  <si>
    <t>17-Mar</t>
  </si>
  <si>
    <t>26-Mar</t>
  </si>
  <si>
    <t>4-Apr</t>
  </si>
  <si>
    <t>13-Apr</t>
  </si>
  <si>
    <t>22-Apr</t>
  </si>
  <si>
    <t>1-May</t>
  </si>
  <si>
    <t>10-May</t>
  </si>
  <si>
    <t>19-May</t>
  </si>
  <si>
    <t>28-May</t>
  </si>
  <si>
    <t>6-Jun</t>
  </si>
  <si>
    <t>15-Jun</t>
  </si>
  <si>
    <t>24-Jun</t>
  </si>
  <si>
    <t>Sum of Units</t>
  </si>
  <si>
    <t>Total Revenue</t>
  </si>
  <si>
    <t>Total Orders</t>
  </si>
  <si>
    <t>Total Units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</si>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</sst>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u/>
      <sz val="16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5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[Day4.xlsx]SalesBYRegion!Sales by region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SalesBYRegion!$B$3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SalesBYRegion!$A$4:$A$7</c:f>
              <c:strCache>
                <c:ptCount val="3"/>
                <c:pt idx="0">
                  <c:v>Islamabad</c:v>
                </c:pt>
                <c:pt idx="1">
                  <c:v>Karachi</c:v>
                </c:pt>
                <c:pt idx="2">
                  <c:v>Lahore</c:v>
                </c:pt>
              </c:strCache>
            </c:strRef>
          </c:cat>
          <c:val>
            <c:numRef>
              <c:f>SalesBYRegion!$B$4:$B$7</c:f>
              <c:numCache>
                <c:formatCode>General</c:formatCode>
                <c:ptCount val="3"/>
                <c:pt idx="0">
                  <c:v>4178275</c:v>
                </c:pt>
                <c:pt idx="1">
                  <c:v>3333225</c:v>
                </c:pt>
                <c:pt idx="2">
                  <c:v>3043375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3-494B-8E72-1D4F3E675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93144608"/>
        <c:axId val="693141696"/>
      </c:barChart>
      <c:catAx>
        <c:axId val="6931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1696"/>
        <c:crosses val="autoZero"/>
        <c:auto val="1"/>
        <c:lblAlgn val="ctr"/>
        <c:lblOffset val="100"/>
        <c:noMultiLvlLbl val="0"/>
      </c:catAx>
      <c:valAx>
        <c:axId val="693141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[Day4.xlsx]SalesByprods!SalesByProds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SalesByprods!$B$3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SalesByprods!$A$4:$A$10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SalesByprods!$B$4:$B$10</c:f>
              <c:numCache>
                <c:formatCode>General</c:formatCode>
                <c:ptCount val="6"/>
                <c:pt idx="0">
                  <c:v>480600</c:v>
                </c:pt>
                <c:pt idx="1">
                  <c:v>282150</c:v>
                </c:pt>
                <c:pt idx="2">
                  <c:v>6408000</c:v>
                </c:pt>
                <c:pt idx="3">
                  <c:v>1812000</c:v>
                </c:pt>
                <c:pt idx="4">
                  <c:v>150875</c:v>
                </c:pt>
                <c:pt idx="5">
                  <c:v>1421250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6-40D5-A844-B1528E656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6691680"/>
        <c:axId val="706697088"/>
        <c:axId val="0"/>
      </c:bar3DChart>
      <c:catAx>
        <c:axId val="70669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97088"/>
        <c:crosses val="autoZero"/>
        <c:auto val="1"/>
        <c:lblAlgn val="ctr"/>
        <c:lblOffset val="100"/>
        <c:noMultiLvlLbl val="0"/>
      </c:catAx>
      <c:valAx>
        <c:axId val="7066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9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[Day4.xlsx]SalesByMonORdates!PivotTable3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7.0348556430446213E-2"/>
          <c:y val="0.21978561375480238"/>
          <c:w val="0.8179511811023622"/>
          <c:h val="0.48399741336680741"/>
        </c:manualLayout>
      </c:layout>
      <c:lineChart>
        <c:grouping val="standard"/>
        <c:varyColors val="0"/>
        <c:ser>
          <c:idx val="0"/>
          <c:order val="0"/>
          <c:tx>
            <c:strRef>
              <c:f>SalesByMonORdates!$B$1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SalesByMonORdates!$A$2:$A$68</c:f>
              <c:multiLvlStrCache>
                <c:ptCount val="60"/>
                <c:lvl>
                  <c:pt idx="0">
                    <c:v>1-Jan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10-Jan</c:v>
                  </c:pt>
                  <c:pt idx="4">
                    <c:v>13-Jan</c:v>
                  </c:pt>
                  <c:pt idx="5">
                    <c:v>16-Jan</c:v>
                  </c:pt>
                  <c:pt idx="6">
                    <c:v>19-Jan</c:v>
                  </c:pt>
                  <c:pt idx="7">
                    <c:v>22-Jan</c:v>
                  </c:pt>
                  <c:pt idx="8">
                    <c:v>25-Jan</c:v>
                  </c:pt>
                  <c:pt idx="9">
                    <c:v>28-Jan</c:v>
                  </c:pt>
                  <c:pt idx="10">
                    <c:v>31-Jan</c:v>
                  </c:pt>
                  <c:pt idx="11">
                    <c:v>3-Feb</c:v>
                  </c:pt>
                  <c:pt idx="12">
                    <c:v>6-Feb</c:v>
                  </c:pt>
                  <c:pt idx="13">
                    <c:v>9-Feb</c:v>
                  </c:pt>
                  <c:pt idx="14">
                    <c:v>12-Feb</c:v>
                  </c:pt>
                  <c:pt idx="15">
                    <c:v>15-Feb</c:v>
                  </c:pt>
                  <c:pt idx="16">
                    <c:v>18-Feb</c:v>
                  </c:pt>
                  <c:pt idx="17">
                    <c:v>21-Feb</c:v>
                  </c:pt>
                  <c:pt idx="18">
                    <c:v>24-Feb</c:v>
                  </c:pt>
                  <c:pt idx="19">
                    <c:v>27-Feb</c:v>
                  </c:pt>
                  <c:pt idx="20">
                    <c:v>2-Mar</c:v>
                  </c:pt>
                  <c:pt idx="21">
                    <c:v>5-Mar</c:v>
                  </c:pt>
                  <c:pt idx="22">
                    <c:v>8-Mar</c:v>
                  </c:pt>
                  <c:pt idx="23">
                    <c:v>11-Mar</c:v>
                  </c:pt>
                  <c:pt idx="24">
                    <c:v>14-Mar</c:v>
                  </c:pt>
                  <c:pt idx="25">
                    <c:v>17-Mar</c:v>
                  </c:pt>
                  <c:pt idx="26">
                    <c:v>20-Mar</c:v>
                  </c:pt>
                  <c:pt idx="27">
                    <c:v>23-Mar</c:v>
                  </c:pt>
                  <c:pt idx="28">
                    <c:v>26-Mar</c:v>
                  </c:pt>
                  <c:pt idx="29">
                    <c:v>29-Mar</c:v>
                  </c:pt>
                  <c:pt idx="30">
                    <c:v>1-Apr</c:v>
                  </c:pt>
                  <c:pt idx="31">
                    <c:v>4-Apr</c:v>
                  </c:pt>
                  <c:pt idx="32">
                    <c:v>7-Apr</c:v>
                  </c:pt>
                  <c:pt idx="33">
                    <c:v>10-Apr</c:v>
                  </c:pt>
                  <c:pt idx="34">
                    <c:v>13-Apr</c:v>
                  </c:pt>
                  <c:pt idx="35">
                    <c:v>16-Apr</c:v>
                  </c:pt>
                  <c:pt idx="36">
                    <c:v>19-Apr</c:v>
                  </c:pt>
                  <c:pt idx="37">
                    <c:v>22-Apr</c:v>
                  </c:pt>
                  <c:pt idx="38">
                    <c:v>25-Apr</c:v>
                  </c:pt>
                  <c:pt idx="39">
                    <c:v>28-Apr</c:v>
                  </c:pt>
                  <c:pt idx="40">
                    <c:v>1-May</c:v>
                  </c:pt>
                  <c:pt idx="41">
                    <c:v>4-May</c:v>
                  </c:pt>
                  <c:pt idx="42">
                    <c:v>7-May</c:v>
                  </c:pt>
                  <c:pt idx="43">
                    <c:v>10-May</c:v>
                  </c:pt>
                  <c:pt idx="44">
                    <c:v>13-May</c:v>
                  </c:pt>
                  <c:pt idx="45">
                    <c:v>16-May</c:v>
                  </c:pt>
                  <c:pt idx="46">
                    <c:v>19-May</c:v>
                  </c:pt>
                  <c:pt idx="47">
                    <c:v>22-May</c:v>
                  </c:pt>
                  <c:pt idx="48">
                    <c:v>25-May</c:v>
                  </c:pt>
                  <c:pt idx="49">
                    <c:v>28-May</c:v>
                  </c:pt>
                  <c:pt idx="50">
                    <c:v>31-May</c:v>
                  </c:pt>
                  <c:pt idx="51">
                    <c:v>3-Jun</c:v>
                  </c:pt>
                  <c:pt idx="52">
                    <c:v>6-Jun</c:v>
                  </c:pt>
                  <c:pt idx="53">
                    <c:v>9-Jun</c:v>
                  </c:pt>
                  <c:pt idx="54">
                    <c:v>12-Jun</c:v>
                  </c:pt>
                  <c:pt idx="55">
                    <c:v>15-Jun</c:v>
                  </c:pt>
                  <c:pt idx="56">
                    <c:v>18-Jun</c:v>
                  </c:pt>
                  <c:pt idx="57">
                    <c:v>21-Jun</c:v>
                  </c:pt>
                  <c:pt idx="58">
                    <c:v>24-Jun</c:v>
                  </c:pt>
                  <c:pt idx="59">
                    <c:v>27-Jun</c:v>
                  </c:pt>
                </c:lvl>
                <c:lvl>
                  <c:pt idx="0">
                    <c:v>Jan</c:v>
                  </c:pt>
                  <c:pt idx="11">
                    <c:v>Feb</c:v>
                  </c:pt>
                  <c:pt idx="20">
                    <c:v>Mar</c:v>
                  </c:pt>
                  <c:pt idx="30">
                    <c:v>Apr</c:v>
                  </c:pt>
                  <c:pt idx="40">
                    <c:v>May</c:v>
                  </c:pt>
                  <c:pt idx="51">
                    <c:v>Jun</c:v>
                  </c:pt>
                </c:lvl>
              </c:multiLvlStrCache>
            </c:multiLvlStrRef>
          </c:cat>
          <c:val>
            <c:numRef>
              <c:f>SalesByMonORdates!$B$2:$B$68</c:f>
              <c:numCache>
                <c:formatCode>General</c:formatCode>
                <c:ptCount val="60"/>
                <c:pt idx="0">
                  <c:v>84500</c:v>
                </c:pt>
                <c:pt idx="1">
                  <c:v>165000</c:v>
                </c:pt>
                <c:pt idx="2">
                  <c:v>80275</c:v>
                </c:pt>
                <c:pt idx="3">
                  <c:v>445500</c:v>
                </c:pt>
                <c:pt idx="4">
                  <c:v>82500</c:v>
                </c:pt>
                <c:pt idx="5">
                  <c:v>495000</c:v>
                </c:pt>
                <c:pt idx="6">
                  <c:v>78375</c:v>
                </c:pt>
                <c:pt idx="7">
                  <c:v>464400</c:v>
                </c:pt>
                <c:pt idx="8">
                  <c:v>32500</c:v>
                </c:pt>
                <c:pt idx="9">
                  <c:v>516000</c:v>
                </c:pt>
                <c:pt idx="10">
                  <c:v>34200</c:v>
                </c:pt>
                <c:pt idx="11">
                  <c:v>194400</c:v>
                </c:pt>
                <c:pt idx="12">
                  <c:v>36000</c:v>
                </c:pt>
                <c:pt idx="13">
                  <c:v>216000</c:v>
                </c:pt>
                <c:pt idx="14">
                  <c:v>9975</c:v>
                </c:pt>
                <c:pt idx="15">
                  <c:v>297000</c:v>
                </c:pt>
                <c:pt idx="16">
                  <c:v>10500</c:v>
                </c:pt>
                <c:pt idx="17">
                  <c:v>177000</c:v>
                </c:pt>
                <c:pt idx="18">
                  <c:v>28025</c:v>
                </c:pt>
                <c:pt idx="19">
                  <c:v>159300</c:v>
                </c:pt>
                <c:pt idx="20">
                  <c:v>29500</c:v>
                </c:pt>
                <c:pt idx="21">
                  <c:v>507000</c:v>
                </c:pt>
                <c:pt idx="22">
                  <c:v>26125</c:v>
                </c:pt>
                <c:pt idx="23">
                  <c:v>456300</c:v>
                </c:pt>
                <c:pt idx="24">
                  <c:v>82500</c:v>
                </c:pt>
                <c:pt idx="25">
                  <c:v>495000</c:v>
                </c:pt>
                <c:pt idx="26">
                  <c:v>78375</c:v>
                </c:pt>
                <c:pt idx="27">
                  <c:v>445500</c:v>
                </c:pt>
                <c:pt idx="28">
                  <c:v>86000</c:v>
                </c:pt>
                <c:pt idx="29">
                  <c:v>195000</c:v>
                </c:pt>
                <c:pt idx="30">
                  <c:v>81700</c:v>
                </c:pt>
                <c:pt idx="31">
                  <c:v>194400</c:v>
                </c:pt>
                <c:pt idx="32">
                  <c:v>36000</c:v>
                </c:pt>
                <c:pt idx="33">
                  <c:v>216000</c:v>
                </c:pt>
                <c:pt idx="34">
                  <c:v>34200</c:v>
                </c:pt>
                <c:pt idx="35">
                  <c:v>56700</c:v>
                </c:pt>
                <c:pt idx="36">
                  <c:v>55000</c:v>
                </c:pt>
                <c:pt idx="37">
                  <c:v>63000</c:v>
                </c:pt>
                <c:pt idx="38">
                  <c:v>28025</c:v>
                </c:pt>
                <c:pt idx="39">
                  <c:v>159300</c:v>
                </c:pt>
                <c:pt idx="40">
                  <c:v>29500</c:v>
                </c:pt>
                <c:pt idx="41">
                  <c:v>177000</c:v>
                </c:pt>
                <c:pt idx="42">
                  <c:v>80275</c:v>
                </c:pt>
                <c:pt idx="43">
                  <c:v>148500</c:v>
                </c:pt>
                <c:pt idx="44">
                  <c:v>84500</c:v>
                </c:pt>
                <c:pt idx="45">
                  <c:v>495000</c:v>
                </c:pt>
                <c:pt idx="46">
                  <c:v>78375</c:v>
                </c:pt>
                <c:pt idx="47">
                  <c:v>445500</c:v>
                </c:pt>
                <c:pt idx="48">
                  <c:v>82500</c:v>
                </c:pt>
                <c:pt idx="49">
                  <c:v>516000</c:v>
                </c:pt>
                <c:pt idx="50">
                  <c:v>30875</c:v>
                </c:pt>
                <c:pt idx="51">
                  <c:v>464400</c:v>
                </c:pt>
                <c:pt idx="52">
                  <c:v>36000</c:v>
                </c:pt>
                <c:pt idx="53">
                  <c:v>216000</c:v>
                </c:pt>
                <c:pt idx="54">
                  <c:v>34200</c:v>
                </c:pt>
                <c:pt idx="55">
                  <c:v>194400</c:v>
                </c:pt>
                <c:pt idx="56">
                  <c:v>10500</c:v>
                </c:pt>
                <c:pt idx="57">
                  <c:v>330000</c:v>
                </c:pt>
                <c:pt idx="58">
                  <c:v>9975</c:v>
                </c:pt>
                <c:pt idx="59">
                  <c:v>159300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A-4449-8763-CC6114667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517040"/>
        <c:axId val="806520368"/>
      </c:lineChart>
      <c:catAx>
        <c:axId val="80651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20368"/>
        <c:crosses val="autoZero"/>
        <c:auto val="1"/>
        <c:lblAlgn val="ctr"/>
        <c:lblOffset val="100"/>
        <c:noMultiLvlLbl val="0"/>
      </c:catAx>
      <c:valAx>
        <c:axId val="8065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1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[Day4.xlsx]unitsold!PivotTable4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unitsold!$B$3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unitsold!$A$4:$A$10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unitsold!$B$4:$B$10</c:f>
              <c:numCache>
                <c:formatCode>General</c:formatCode>
                <c:ptCount val="6"/>
                <c:pt idx="0">
                  <c:v>84</c:v>
                </c:pt>
                <c:pt idx="1">
                  <c:v>66</c:v>
                </c:pt>
                <c:pt idx="2">
                  <c:v>84</c:v>
                </c:pt>
                <c:pt idx="3">
                  <c:v>63</c:v>
                </c:pt>
                <c:pt idx="4">
                  <c:v>63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E-4F14-B065-7D5B815B9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6363248"/>
        <c:axId val="696362000"/>
      </c:barChart>
      <c:catAx>
        <c:axId val="69636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62000"/>
        <c:crosses val="autoZero"/>
        <c:auto val="1"/>
        <c:lblAlgn val="ctr"/>
        <c:lblOffset val="100"/>
        <c:noMultiLvlLbl val="0"/>
      </c:catAx>
      <c:valAx>
        <c:axId val="6963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6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</xdr:colOff>
      <xdr:row>0</xdr:row>
      <xdr:rowOff>185737</xdr:rowOff>
    </xdr:from>
    <xdr:to>
      <xdr:col>20</xdr:col>
      <xdr:colOff>187098</xdr:colOff>
      <xdr:row>21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</xdr:colOff>
      <xdr:row>1</xdr:row>
      <xdr:rowOff>47625</xdr:rowOff>
    </xdr:from>
    <xdr:to>
      <xdr:col>13</xdr:col>
      <xdr:colOff>600075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28575</xdr:rowOff>
    </xdr:from>
    <xdr:to>
      <xdr:col>14</xdr:col>
      <xdr:colOff>514350</xdr:colOff>
      <xdr:row>16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209550</xdr:colOff>
      <xdr:row>16</xdr:row>
      <xdr:rowOff>57150</xdr:rowOff>
    </xdr:from>
    <xdr:to>
      <xdr:col>11</xdr:col>
      <xdr:colOff>495300</xdr:colOff>
      <xdr:row>23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6775" y="31051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1</xdr:row>
      <xdr:rowOff>9525</xdr:rowOff>
    </xdr:from>
    <xdr:to>
      <xdr:col>10</xdr:col>
      <xdr:colOff>52387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2</xdr:row>
      <xdr:rowOff>104775</xdr:rowOff>
    </xdr:from>
    <xdr:to>
      <xdr:col>5</xdr:col>
      <xdr:colOff>152400</xdr:colOff>
      <xdr:row>7</xdr:row>
      <xdr:rowOff>85725</xdr:rowOff>
    </xdr:to>
    <xdr:sp macro="" textlink="">
      <xdr:nvSpPr>
        <xdr:cNvPr id="2" name="Rounded Rectangle 1"/>
        <xdr:cNvSpPr/>
      </xdr:nvSpPr>
      <xdr:spPr>
        <a:xfrm>
          <a:off x="514350" y="485775"/>
          <a:ext cx="2686050" cy="1009650"/>
        </a:xfrm>
        <a:prstGeom prst="roundRect">
          <a:avLst/>
        </a:prstGeom>
        <a:noFill/>
        <a:ln w="9525">
          <a:solidFill>
            <a:schemeClr val="tx2"/>
          </a:solidFill>
          <a:prstDash val="sysDash"/>
        </a:ln>
        <a:effectLst>
          <a:outerShdw blurRad="107950" dist="12700" dir="5400000" algn="ctr">
            <a:srgbClr val="000000"/>
          </a:outerShdw>
          <a:reflection blurRad="6350" stA="52000" endA="300" endPos="35000" dir="5400000" sy="-100000" algn="bl" rotWithShape="0"/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190500</xdr:colOff>
      <xdr:row>2</xdr:row>
      <xdr:rowOff>85725</xdr:rowOff>
    </xdr:from>
    <xdr:to>
      <xdr:col>10</xdr:col>
      <xdr:colOff>438150</xdr:colOff>
      <xdr:row>7</xdr:row>
      <xdr:rowOff>66675</xdr:rowOff>
    </xdr:to>
    <xdr:sp macro="" textlink="">
      <xdr:nvSpPr>
        <xdr:cNvPr id="9" name="Rounded Rectangle 8"/>
        <xdr:cNvSpPr/>
      </xdr:nvSpPr>
      <xdr:spPr>
        <a:xfrm>
          <a:off x="3848100" y="466725"/>
          <a:ext cx="2686050" cy="1009650"/>
        </a:xfrm>
        <a:prstGeom prst="roundRect">
          <a:avLst/>
        </a:prstGeom>
        <a:noFill/>
        <a:ln w="9525">
          <a:solidFill>
            <a:schemeClr val="tx2"/>
          </a:solidFill>
          <a:prstDash val="sysDash"/>
        </a:ln>
        <a:effectLst>
          <a:outerShdw blurRad="107950" dist="12700" dir="5400000" algn="ctr">
            <a:srgbClr val="000000"/>
          </a:outerShdw>
          <a:reflection blurRad="6350" stA="52000" endA="300" endPos="35000" dir="5400000" sy="-100000" algn="bl" rotWithShape="0"/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142875</xdr:colOff>
      <xdr:row>10</xdr:row>
      <xdr:rowOff>9525</xdr:rowOff>
    </xdr:from>
    <xdr:to>
      <xdr:col>9</xdr:col>
      <xdr:colOff>571500</xdr:colOff>
      <xdr:row>14</xdr:row>
      <xdr:rowOff>180975</xdr:rowOff>
    </xdr:to>
    <xdr:sp macro="" textlink="">
      <xdr:nvSpPr>
        <xdr:cNvPr id="10" name="Rounded Rectangle 9"/>
        <xdr:cNvSpPr/>
      </xdr:nvSpPr>
      <xdr:spPr>
        <a:xfrm>
          <a:off x="3800475" y="1990725"/>
          <a:ext cx="2257425" cy="1009650"/>
        </a:xfrm>
        <a:prstGeom prst="roundRect">
          <a:avLst/>
        </a:prstGeom>
        <a:noFill/>
        <a:ln w="9525">
          <a:solidFill>
            <a:schemeClr val="tx2"/>
          </a:solidFill>
          <a:prstDash val="sysDash"/>
        </a:ln>
        <a:effectLst>
          <a:outerShdw blurRad="107950" dist="12700" dir="5400000" algn="ctr">
            <a:srgbClr val="000000"/>
          </a:outerShdw>
          <a:reflection blurRad="6350" stA="52000" endA="300" endPos="35000" dir="5400000" sy="-100000" algn="bl" rotWithShape="0"/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10</xdr:row>
      <xdr:rowOff>47625</xdr:rowOff>
    </xdr:from>
    <xdr:to>
      <xdr:col>15</xdr:col>
      <xdr:colOff>476250</xdr:colOff>
      <xdr:row>15</xdr:row>
      <xdr:rowOff>28575</xdr:rowOff>
    </xdr:to>
    <xdr:sp macro="" textlink="">
      <xdr:nvSpPr>
        <xdr:cNvPr id="11" name="Rounded Rectangle 10"/>
        <xdr:cNvSpPr/>
      </xdr:nvSpPr>
      <xdr:spPr>
        <a:xfrm>
          <a:off x="7362825" y="2028825"/>
          <a:ext cx="2686050" cy="1009650"/>
        </a:xfrm>
        <a:prstGeom prst="roundRect">
          <a:avLst/>
        </a:prstGeom>
        <a:noFill/>
        <a:ln w="9525">
          <a:solidFill>
            <a:schemeClr val="tx2"/>
          </a:solidFill>
          <a:prstDash val="sysDash"/>
        </a:ln>
        <a:effectLst>
          <a:outerShdw blurRad="107950" dist="12700" dir="5400000" algn="ctr">
            <a:srgbClr val="000000"/>
          </a:outerShdw>
          <a:reflection blurRad="6350" stA="52000" endA="300" endPos="35000" dir="5400000" sy="-100000" algn="bl" rotWithShape="0"/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c" refreshedDate="46290.01509050926" createdVersion="6" refreshedVersion="6" minRefreshableVersion="3" recordCount="120">
  <cacheSource type="worksheet">
    <worksheetSource name="SalesData"/>
  </cacheSource>
  <cacheFields count="13">
    <cacheField name="Order ID" numFmtId="0">
      <sharedItems/>
    </cacheField>
    <cacheField name="Customer ID" numFmtId="0">
      <sharedItems/>
    </cacheField>
    <cacheField name="Customer Name" numFmtId="0">
      <sharedItems/>
    </cacheField>
    <cacheField name="Region" numFmtId="0">
      <sharedItems count="3">
        <s v="Karachi"/>
        <s v="Lahore"/>
        <s v="Islamabad"/>
      </sharedItems>
    </cacheField>
    <cacheField name="Product" numFmtId="0">
      <sharedItems count="6">
        <s v="Laptop"/>
        <s v="Mouse"/>
        <s v="Headphones"/>
        <s v="Monitor"/>
        <s v="Keyboard"/>
        <s v="Printer"/>
      </sharedItems>
    </cacheField>
    <cacheField name="Category" numFmtId="0">
      <sharedItems/>
    </cacheField>
    <cacheField name="Units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2500" maxValue="80000"/>
    </cacheField>
    <cacheField name="Discount" numFmtId="0">
      <sharedItems containsSemiMixedTypes="0" containsString="0" containsNumber="1" minValue="0" maxValue="0.1"/>
    </cacheField>
    <cacheField name="Total Sales" numFmtId="0">
      <sharedItems containsSemiMixedTypes="0" containsString="0" containsNumber="1" containsInteger="1" minValue="2375" maxValue="480000"/>
    </cacheField>
    <cacheField name="Order Date" numFmtId="164">
      <sharedItems containsSemiMixedTypes="0" containsNonDate="0" containsDate="1" containsString="0" minDate="2026-01-01T00:00:00" maxDate="2026-06-28T00:00:00" count="60">
        <d v="2026-01-01T00:00:00"/>
        <d v="2026-01-04T00:00:00"/>
        <d v="2026-01-07T00:00:00"/>
        <d v="2026-01-10T00:00:00"/>
        <d v="2026-01-13T00:00:00"/>
        <d v="2026-01-16T00:00:00"/>
        <d v="2026-01-19T00:00:00"/>
        <d v="2026-01-22T00:00:00"/>
        <d v="2026-01-25T00:00:00"/>
        <d v="2026-01-28T00:00:00"/>
        <d v="2026-01-31T00:00:00"/>
        <d v="2026-02-03T00:00:00"/>
        <d v="2026-02-06T00:00:00"/>
        <d v="2026-02-09T00:00:00"/>
        <d v="2026-02-12T00:00:00"/>
        <d v="2026-02-15T00:00:00"/>
        <d v="2026-02-18T00:00:00"/>
        <d v="2026-02-21T00:00:00"/>
        <d v="2026-02-24T00:00:00"/>
        <d v="2026-02-27T00:00:00"/>
        <d v="2026-03-02T00:00:00"/>
        <d v="2026-03-05T00:00:00"/>
        <d v="2026-03-08T00:00:00"/>
        <d v="2026-03-11T00:00:00"/>
        <d v="2026-03-14T00:00:00"/>
        <d v="2026-03-17T00:00:00"/>
        <d v="2026-03-20T00:00:00"/>
        <d v="2026-03-23T00:00:00"/>
        <d v="2026-03-26T00:00:00"/>
        <d v="2026-03-29T00:00:00"/>
        <d v="2026-04-01T00:00:00"/>
        <d v="2026-04-04T00:00:00"/>
        <d v="2026-04-07T00:00:00"/>
        <d v="2026-04-10T00:00:00"/>
        <d v="2026-04-13T00:00:00"/>
        <d v="2026-04-16T00:00:00"/>
        <d v="2026-04-19T00:00:00"/>
        <d v="2026-04-22T00:00:00"/>
        <d v="2026-04-25T00:00:00"/>
        <d v="2026-04-28T00:00:00"/>
        <d v="2026-05-01T00:00:00"/>
        <d v="2026-05-04T00:00:00"/>
        <d v="2026-05-07T00:00:00"/>
        <d v="2026-05-10T00:00:00"/>
        <d v="2026-05-13T00:00:00"/>
        <d v="2026-05-16T00:00:00"/>
        <d v="2026-05-19T00:00:00"/>
        <d v="2026-05-22T00:00:00"/>
        <d v="2026-05-25T00:00:00"/>
        <d v="2026-05-28T00:00:00"/>
        <d v="2026-05-31T00:00:00"/>
        <d v="2026-06-03T00:00:00"/>
        <d v="2026-06-06T00:00:00"/>
        <d v="2026-06-09T00:00:00"/>
        <d v="2026-06-12T00:00:00"/>
        <d v="2026-06-15T00:00:00"/>
        <d v="2026-06-18T00:00:00"/>
        <d v="2026-06-21T00:00:00"/>
        <d v="2026-06-24T00:00:00"/>
        <d v="2026-06-27T00:00:00"/>
      </sharedItems>
      <fieldGroup par="12" base="10">
        <rangePr groupBy="days" startDate="2026-01-01T00:00:00" endDate="2026-06-28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8/2026"/>
        </groupItems>
      </fieldGroup>
    </cacheField>
    <cacheField name="Salesperson" numFmtId="0">
      <sharedItems/>
    </cacheField>
    <cacheField name="Months" numFmtId="0" databaseField="0">
      <fieldGroup base="10">
        <rangePr groupBy="months" startDate="2026-01-01T00:00:00" endDate="2026-06-28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8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s v="ORD001"/>
    <s v="C001"/>
    <s v="Ali Khan"/>
    <x v="0"/>
    <x v="0"/>
    <s v="Electronics"/>
    <n v="1"/>
    <n v="80000"/>
    <n v="0"/>
    <n v="80000"/>
    <x v="0"/>
    <s v="Ali"/>
  </r>
  <r>
    <s v="ORD002"/>
    <s v="C002"/>
    <s v="Sara Ahmed"/>
    <x v="1"/>
    <x v="1"/>
    <s v="Accessories"/>
    <n v="6"/>
    <n v="2500"/>
    <n v="0"/>
    <n v="15000"/>
    <x v="1"/>
    <s v="Ahmed"/>
  </r>
  <r>
    <s v="ORD003"/>
    <s v="C003"/>
    <s v="Ahmed Raza"/>
    <x v="0"/>
    <x v="0"/>
    <s v="Electronics"/>
    <n v="1"/>
    <n v="80000"/>
    <n v="0.05"/>
    <n v="76000"/>
    <x v="2"/>
    <s v="Zain"/>
  </r>
  <r>
    <s v="ORD004"/>
    <s v="C004"/>
    <s v="Hira Shah"/>
    <x v="2"/>
    <x v="1"/>
    <s v="Accessories"/>
    <n v="6"/>
    <n v="2500"/>
    <n v="0.1"/>
    <n v="13500"/>
    <x v="3"/>
    <s v="Sara"/>
  </r>
  <r>
    <s v="ORD005"/>
    <s v="C005"/>
    <s v="Zain Malik"/>
    <x v="1"/>
    <x v="0"/>
    <s v="Electronics"/>
    <n v="1"/>
    <n v="80000"/>
    <n v="0"/>
    <n v="80000"/>
    <x v="4"/>
    <s v="Hira"/>
  </r>
  <r>
    <s v="ORD006"/>
    <s v="C006"/>
    <s v="Ayesha Noor"/>
    <x v="0"/>
    <x v="1"/>
    <s v="Accessories"/>
    <n v="6"/>
    <n v="2500"/>
    <n v="0"/>
    <n v="15000"/>
    <x v="5"/>
    <s v="Ali"/>
  </r>
  <r>
    <s v="ORD007"/>
    <s v="C007"/>
    <s v="Hamza Ali"/>
    <x v="2"/>
    <x v="0"/>
    <s v="Electronics"/>
    <n v="1"/>
    <n v="80000"/>
    <n v="0.05"/>
    <n v="76000"/>
    <x v="6"/>
    <s v="Ahmed"/>
  </r>
  <r>
    <s v="ORD008"/>
    <s v="C008"/>
    <s v="Fatima Noor"/>
    <x v="1"/>
    <x v="2"/>
    <s v="Accessories"/>
    <n v="6"/>
    <n v="6000"/>
    <n v="0.1"/>
    <n v="32400"/>
    <x v="7"/>
    <s v="Zain"/>
  </r>
  <r>
    <s v="ORD009"/>
    <s v="C009"/>
    <s v="Bilal Ahmed"/>
    <x v="0"/>
    <x v="3"/>
    <s v="Electronics"/>
    <n v="1"/>
    <n v="30000"/>
    <n v="0"/>
    <n v="30000"/>
    <x v="8"/>
    <s v="Sara"/>
  </r>
  <r>
    <s v="ORD010"/>
    <s v="C010"/>
    <s v="Maham Khan"/>
    <x v="2"/>
    <x v="2"/>
    <s v="Accessories"/>
    <n v="6"/>
    <n v="6000"/>
    <n v="0"/>
    <n v="36000"/>
    <x v="9"/>
    <s v="Hira"/>
  </r>
  <r>
    <s v="ORD011"/>
    <s v="C011"/>
    <s v="Usman Tariq"/>
    <x v="1"/>
    <x v="3"/>
    <s v="Electronics"/>
    <n v="1"/>
    <n v="30000"/>
    <n v="0.05"/>
    <n v="28500"/>
    <x v="10"/>
    <s v="Ali"/>
  </r>
  <r>
    <s v="ORD012"/>
    <s v="C012"/>
    <s v="Sana Iqbal"/>
    <x v="0"/>
    <x v="2"/>
    <s v="Accessories"/>
    <n v="6"/>
    <n v="6000"/>
    <n v="0.1"/>
    <n v="32400"/>
    <x v="11"/>
    <s v="Ahmed"/>
  </r>
  <r>
    <s v="ORD013"/>
    <s v="C001"/>
    <s v="Ali Khan"/>
    <x v="0"/>
    <x v="3"/>
    <s v="Electronics"/>
    <n v="1"/>
    <n v="30000"/>
    <n v="0"/>
    <n v="30000"/>
    <x v="12"/>
    <s v="Zain"/>
  </r>
  <r>
    <s v="ORD014"/>
    <s v="C002"/>
    <s v="Sara Ahmed"/>
    <x v="1"/>
    <x v="2"/>
    <s v="Accessories"/>
    <n v="6"/>
    <n v="6000"/>
    <n v="0"/>
    <n v="36000"/>
    <x v="13"/>
    <s v="Sara"/>
  </r>
  <r>
    <s v="ORD015"/>
    <s v="C003"/>
    <s v="Ahmed Raza"/>
    <x v="0"/>
    <x v="4"/>
    <s v="Accessories"/>
    <n v="1"/>
    <n v="4500"/>
    <n v="0.05"/>
    <n v="4275"/>
    <x v="14"/>
    <s v="Hira"/>
  </r>
  <r>
    <s v="ORD016"/>
    <s v="C004"/>
    <s v="Hira Shah"/>
    <x v="2"/>
    <x v="5"/>
    <s v="Electronics"/>
    <n v="6"/>
    <n v="25000"/>
    <n v="0.1"/>
    <n v="135000"/>
    <x v="15"/>
    <s v="Ali"/>
  </r>
  <r>
    <s v="ORD017"/>
    <s v="C005"/>
    <s v="Zain Malik"/>
    <x v="1"/>
    <x v="4"/>
    <s v="Accessories"/>
    <n v="1"/>
    <n v="4500"/>
    <n v="0"/>
    <n v="4500"/>
    <x v="16"/>
    <s v="Ahmed"/>
  </r>
  <r>
    <s v="ORD018"/>
    <s v="C006"/>
    <s v="Ayesha Noor"/>
    <x v="0"/>
    <x v="5"/>
    <s v="Electronics"/>
    <n v="6"/>
    <n v="25000"/>
    <n v="0"/>
    <n v="150000"/>
    <x v="17"/>
    <s v="Zain"/>
  </r>
  <r>
    <s v="ORD019"/>
    <s v="C007"/>
    <s v="Hamza Ali"/>
    <x v="2"/>
    <x v="4"/>
    <s v="Accessories"/>
    <n v="1"/>
    <n v="4500"/>
    <n v="0.05"/>
    <n v="4275"/>
    <x v="18"/>
    <s v="Sara"/>
  </r>
  <r>
    <s v="ORD020"/>
    <s v="C008"/>
    <s v="Fatima Noor"/>
    <x v="1"/>
    <x v="5"/>
    <s v="Electronics"/>
    <n v="6"/>
    <n v="25000"/>
    <n v="0.1"/>
    <n v="135000"/>
    <x v="19"/>
    <s v="Hira"/>
  </r>
  <r>
    <s v="ORD021"/>
    <s v="C009"/>
    <s v="Bilal Ahmed"/>
    <x v="0"/>
    <x v="4"/>
    <s v="Accessories"/>
    <n v="1"/>
    <n v="4500"/>
    <n v="0"/>
    <n v="4500"/>
    <x v="20"/>
    <s v="Ali"/>
  </r>
  <r>
    <s v="ORD022"/>
    <s v="C010"/>
    <s v="Maham Khan"/>
    <x v="2"/>
    <x v="0"/>
    <s v="Electronics"/>
    <n v="6"/>
    <n v="80000"/>
    <n v="0"/>
    <n v="480000"/>
    <x v="21"/>
    <s v="Ahmed"/>
  </r>
  <r>
    <s v="ORD023"/>
    <s v="C011"/>
    <s v="Usman Tariq"/>
    <x v="1"/>
    <x v="1"/>
    <s v="Accessories"/>
    <n v="1"/>
    <n v="2500"/>
    <n v="0.05"/>
    <n v="2375"/>
    <x v="22"/>
    <s v="Zain"/>
  </r>
  <r>
    <s v="ORD024"/>
    <s v="C012"/>
    <s v="Sana Iqbal"/>
    <x v="0"/>
    <x v="0"/>
    <s v="Electronics"/>
    <n v="6"/>
    <n v="80000"/>
    <n v="0.1"/>
    <n v="432000"/>
    <x v="23"/>
    <s v="Sara"/>
  </r>
  <r>
    <s v="ORD025"/>
    <s v="C001"/>
    <s v="Ali Khan"/>
    <x v="0"/>
    <x v="1"/>
    <s v="Accessories"/>
    <n v="1"/>
    <n v="2500"/>
    <n v="0"/>
    <n v="2500"/>
    <x v="24"/>
    <s v="Hira"/>
  </r>
  <r>
    <s v="ORD026"/>
    <s v="C002"/>
    <s v="Sara Ahmed"/>
    <x v="1"/>
    <x v="0"/>
    <s v="Electronics"/>
    <n v="6"/>
    <n v="80000"/>
    <n v="0"/>
    <n v="480000"/>
    <x v="25"/>
    <s v="Ali"/>
  </r>
  <r>
    <s v="ORD027"/>
    <s v="C003"/>
    <s v="Ahmed Raza"/>
    <x v="0"/>
    <x v="1"/>
    <s v="Accessories"/>
    <n v="1"/>
    <n v="2500"/>
    <n v="0.05"/>
    <n v="2375"/>
    <x v="26"/>
    <s v="Ahmed"/>
  </r>
  <r>
    <s v="ORD028"/>
    <s v="C004"/>
    <s v="Hira Shah"/>
    <x v="2"/>
    <x v="0"/>
    <s v="Electronics"/>
    <n v="6"/>
    <n v="80000"/>
    <n v="0.1"/>
    <n v="432000"/>
    <x v="27"/>
    <s v="Zain"/>
  </r>
  <r>
    <s v="ORD029"/>
    <s v="C005"/>
    <s v="Zain Malik"/>
    <x v="1"/>
    <x v="2"/>
    <s v="Accessories"/>
    <n v="1"/>
    <n v="6000"/>
    <n v="0"/>
    <n v="6000"/>
    <x v="28"/>
    <s v="Sara"/>
  </r>
  <r>
    <s v="ORD030"/>
    <s v="C006"/>
    <s v="Ayesha Noor"/>
    <x v="0"/>
    <x v="3"/>
    <s v="Electronics"/>
    <n v="6"/>
    <n v="30000"/>
    <n v="0"/>
    <n v="180000"/>
    <x v="29"/>
    <s v="Hira"/>
  </r>
  <r>
    <s v="ORD031"/>
    <s v="C007"/>
    <s v="Hamza Ali"/>
    <x v="2"/>
    <x v="2"/>
    <s v="Accessories"/>
    <n v="1"/>
    <n v="6000"/>
    <n v="0.05"/>
    <n v="5700"/>
    <x v="30"/>
    <s v="Ali"/>
  </r>
  <r>
    <s v="ORD032"/>
    <s v="C008"/>
    <s v="Fatima Noor"/>
    <x v="1"/>
    <x v="3"/>
    <s v="Electronics"/>
    <n v="6"/>
    <n v="30000"/>
    <n v="0.1"/>
    <n v="162000"/>
    <x v="31"/>
    <s v="Ahmed"/>
  </r>
  <r>
    <s v="ORD033"/>
    <s v="C009"/>
    <s v="Bilal Ahmed"/>
    <x v="0"/>
    <x v="2"/>
    <s v="Accessories"/>
    <n v="1"/>
    <n v="6000"/>
    <n v="0"/>
    <n v="6000"/>
    <x v="32"/>
    <s v="Zain"/>
  </r>
  <r>
    <s v="ORD034"/>
    <s v="C010"/>
    <s v="Maham Khan"/>
    <x v="2"/>
    <x v="3"/>
    <s v="Electronics"/>
    <n v="6"/>
    <n v="30000"/>
    <n v="0"/>
    <n v="180000"/>
    <x v="33"/>
    <s v="Sara"/>
  </r>
  <r>
    <s v="ORD035"/>
    <s v="C011"/>
    <s v="Usman Tariq"/>
    <x v="1"/>
    <x v="2"/>
    <s v="Accessories"/>
    <n v="1"/>
    <n v="6000"/>
    <n v="0.05"/>
    <n v="5700"/>
    <x v="34"/>
    <s v="Hira"/>
  </r>
  <r>
    <s v="ORD036"/>
    <s v="C012"/>
    <s v="Sana Iqbal"/>
    <x v="0"/>
    <x v="4"/>
    <s v="Accessories"/>
    <n v="6"/>
    <n v="4500"/>
    <n v="0.1"/>
    <n v="24300"/>
    <x v="35"/>
    <s v="Ali"/>
  </r>
  <r>
    <s v="ORD037"/>
    <s v="C001"/>
    <s v="Ali Khan"/>
    <x v="0"/>
    <x v="5"/>
    <s v="Electronics"/>
    <n v="1"/>
    <n v="25000"/>
    <n v="0"/>
    <n v="25000"/>
    <x v="36"/>
    <s v="Ahmed"/>
  </r>
  <r>
    <s v="ORD038"/>
    <s v="C002"/>
    <s v="Sara Ahmed"/>
    <x v="1"/>
    <x v="4"/>
    <s v="Accessories"/>
    <n v="6"/>
    <n v="4500"/>
    <n v="0"/>
    <n v="27000"/>
    <x v="37"/>
    <s v="Zain"/>
  </r>
  <r>
    <s v="ORD039"/>
    <s v="C003"/>
    <s v="Ahmed Raza"/>
    <x v="0"/>
    <x v="5"/>
    <s v="Electronics"/>
    <n v="1"/>
    <n v="25000"/>
    <n v="0.05"/>
    <n v="23750"/>
    <x v="38"/>
    <s v="Sara"/>
  </r>
  <r>
    <s v="ORD040"/>
    <s v="C004"/>
    <s v="Hira Shah"/>
    <x v="2"/>
    <x v="4"/>
    <s v="Accessories"/>
    <n v="6"/>
    <n v="4500"/>
    <n v="0.1"/>
    <n v="24300"/>
    <x v="39"/>
    <s v="Hira"/>
  </r>
  <r>
    <s v="ORD041"/>
    <s v="C005"/>
    <s v="Zain Malik"/>
    <x v="1"/>
    <x v="5"/>
    <s v="Electronics"/>
    <n v="1"/>
    <n v="25000"/>
    <n v="0"/>
    <n v="25000"/>
    <x v="40"/>
    <s v="Ali"/>
  </r>
  <r>
    <s v="ORD042"/>
    <s v="C006"/>
    <s v="Ayesha Noor"/>
    <x v="0"/>
    <x v="4"/>
    <s v="Accessories"/>
    <n v="6"/>
    <n v="4500"/>
    <n v="0"/>
    <n v="27000"/>
    <x v="41"/>
    <s v="Ahmed"/>
  </r>
  <r>
    <s v="ORD043"/>
    <s v="C007"/>
    <s v="Hamza Ali"/>
    <x v="2"/>
    <x v="0"/>
    <s v="Electronics"/>
    <n v="1"/>
    <n v="80000"/>
    <n v="0.05"/>
    <n v="76000"/>
    <x v="42"/>
    <s v="Zain"/>
  </r>
  <r>
    <s v="ORD044"/>
    <s v="C008"/>
    <s v="Fatima Noor"/>
    <x v="1"/>
    <x v="1"/>
    <s v="Accessories"/>
    <n v="6"/>
    <n v="2500"/>
    <n v="0.1"/>
    <n v="13500"/>
    <x v="43"/>
    <s v="Sara"/>
  </r>
  <r>
    <s v="ORD045"/>
    <s v="C009"/>
    <s v="Bilal Ahmed"/>
    <x v="0"/>
    <x v="0"/>
    <s v="Electronics"/>
    <n v="1"/>
    <n v="80000"/>
    <n v="0"/>
    <n v="80000"/>
    <x v="44"/>
    <s v="Hira"/>
  </r>
  <r>
    <s v="ORD046"/>
    <s v="C010"/>
    <s v="Maham Khan"/>
    <x v="2"/>
    <x v="1"/>
    <s v="Accessories"/>
    <n v="6"/>
    <n v="2500"/>
    <n v="0"/>
    <n v="15000"/>
    <x v="45"/>
    <s v="Ali"/>
  </r>
  <r>
    <s v="ORD047"/>
    <s v="C011"/>
    <s v="Usman Tariq"/>
    <x v="1"/>
    <x v="0"/>
    <s v="Electronics"/>
    <n v="1"/>
    <n v="80000"/>
    <n v="0.05"/>
    <n v="76000"/>
    <x v="46"/>
    <s v="Ahmed"/>
  </r>
  <r>
    <s v="ORD048"/>
    <s v="C012"/>
    <s v="Sana Iqbal"/>
    <x v="0"/>
    <x v="1"/>
    <s v="Accessories"/>
    <n v="6"/>
    <n v="2500"/>
    <n v="0.1"/>
    <n v="13500"/>
    <x v="47"/>
    <s v="Zain"/>
  </r>
  <r>
    <s v="ORD049"/>
    <s v="C001"/>
    <s v="Ali Khan"/>
    <x v="0"/>
    <x v="0"/>
    <s v="Electronics"/>
    <n v="1"/>
    <n v="80000"/>
    <n v="0"/>
    <n v="80000"/>
    <x v="48"/>
    <s v="Sara"/>
  </r>
  <r>
    <s v="ORD050"/>
    <s v="C002"/>
    <s v="Sara Ahmed"/>
    <x v="1"/>
    <x v="2"/>
    <s v="Accessories"/>
    <n v="6"/>
    <n v="6000"/>
    <n v="0"/>
    <n v="36000"/>
    <x v="49"/>
    <s v="Hira"/>
  </r>
  <r>
    <s v="ORD051"/>
    <s v="C003"/>
    <s v="Ahmed Raza"/>
    <x v="0"/>
    <x v="3"/>
    <s v="Electronics"/>
    <n v="1"/>
    <n v="30000"/>
    <n v="0.05"/>
    <n v="28500"/>
    <x v="50"/>
    <s v="Ali"/>
  </r>
  <r>
    <s v="ORD052"/>
    <s v="C004"/>
    <s v="Hira Shah"/>
    <x v="2"/>
    <x v="2"/>
    <s v="Accessories"/>
    <n v="6"/>
    <n v="6000"/>
    <n v="0.1"/>
    <n v="32400"/>
    <x v="51"/>
    <s v="Ahmed"/>
  </r>
  <r>
    <s v="ORD053"/>
    <s v="C005"/>
    <s v="Zain Malik"/>
    <x v="1"/>
    <x v="3"/>
    <s v="Electronics"/>
    <n v="1"/>
    <n v="30000"/>
    <n v="0"/>
    <n v="30000"/>
    <x v="52"/>
    <s v="Zain"/>
  </r>
  <r>
    <s v="ORD054"/>
    <s v="C006"/>
    <s v="Ayesha Noor"/>
    <x v="0"/>
    <x v="2"/>
    <s v="Accessories"/>
    <n v="6"/>
    <n v="6000"/>
    <n v="0"/>
    <n v="36000"/>
    <x v="53"/>
    <s v="Sara"/>
  </r>
  <r>
    <s v="ORD055"/>
    <s v="C007"/>
    <s v="Hamza Ali"/>
    <x v="2"/>
    <x v="3"/>
    <s v="Electronics"/>
    <n v="1"/>
    <n v="30000"/>
    <n v="0.05"/>
    <n v="28500"/>
    <x v="54"/>
    <s v="Hira"/>
  </r>
  <r>
    <s v="ORD056"/>
    <s v="C008"/>
    <s v="Fatima Noor"/>
    <x v="1"/>
    <x v="2"/>
    <s v="Accessories"/>
    <n v="6"/>
    <n v="6000"/>
    <n v="0.1"/>
    <n v="32400"/>
    <x v="55"/>
    <s v="Ali"/>
  </r>
  <r>
    <s v="ORD057"/>
    <s v="C009"/>
    <s v="Bilal Ahmed"/>
    <x v="0"/>
    <x v="4"/>
    <s v="Accessories"/>
    <n v="1"/>
    <n v="4500"/>
    <n v="0"/>
    <n v="4500"/>
    <x v="56"/>
    <s v="Ahmed"/>
  </r>
  <r>
    <s v="ORD058"/>
    <s v="C010"/>
    <s v="Maham Khan"/>
    <x v="2"/>
    <x v="5"/>
    <s v="Electronics"/>
    <n v="6"/>
    <n v="25000"/>
    <n v="0"/>
    <n v="150000"/>
    <x v="57"/>
    <s v="Zain"/>
  </r>
  <r>
    <s v="ORD059"/>
    <s v="C011"/>
    <s v="Usman Tariq"/>
    <x v="1"/>
    <x v="4"/>
    <s v="Accessories"/>
    <n v="1"/>
    <n v="4500"/>
    <n v="0.05"/>
    <n v="4275"/>
    <x v="58"/>
    <s v="Sara"/>
  </r>
  <r>
    <s v="ORD060"/>
    <s v="C012"/>
    <s v="Sana Iqbal"/>
    <x v="0"/>
    <x v="5"/>
    <s v="Electronics"/>
    <n v="6"/>
    <n v="25000"/>
    <n v="0.1"/>
    <n v="135000"/>
    <x v="59"/>
    <s v="Hira"/>
  </r>
  <r>
    <s v="ORD061"/>
    <s v="C001"/>
    <s v="Ali Khan"/>
    <x v="0"/>
    <x v="4"/>
    <s v="Accessories"/>
    <n v="1"/>
    <n v="4500"/>
    <n v="0"/>
    <n v="4500"/>
    <x v="0"/>
    <s v="Ali"/>
  </r>
  <r>
    <s v="ORD062"/>
    <s v="C002"/>
    <s v="Sara Ahmed"/>
    <x v="1"/>
    <x v="5"/>
    <s v="Electronics"/>
    <n v="6"/>
    <n v="25000"/>
    <n v="0"/>
    <n v="150000"/>
    <x v="1"/>
    <s v="Ahmed"/>
  </r>
  <r>
    <s v="ORD063"/>
    <s v="C003"/>
    <s v="Ahmed Raza"/>
    <x v="0"/>
    <x v="4"/>
    <s v="Accessories"/>
    <n v="1"/>
    <n v="4500"/>
    <n v="0.05"/>
    <n v="4275"/>
    <x v="2"/>
    <s v="Zain"/>
  </r>
  <r>
    <s v="ORD064"/>
    <s v="C004"/>
    <s v="Hira Shah"/>
    <x v="2"/>
    <x v="0"/>
    <s v="Electronics"/>
    <n v="6"/>
    <n v="80000"/>
    <n v="0.1"/>
    <n v="432000"/>
    <x v="3"/>
    <s v="Sara"/>
  </r>
  <r>
    <s v="ORD065"/>
    <s v="C005"/>
    <s v="Zain Malik"/>
    <x v="1"/>
    <x v="1"/>
    <s v="Accessories"/>
    <n v="1"/>
    <n v="2500"/>
    <n v="0"/>
    <n v="2500"/>
    <x v="4"/>
    <s v="Hira"/>
  </r>
  <r>
    <s v="ORD066"/>
    <s v="C006"/>
    <s v="Ayesha Noor"/>
    <x v="0"/>
    <x v="0"/>
    <s v="Electronics"/>
    <n v="6"/>
    <n v="80000"/>
    <n v="0"/>
    <n v="480000"/>
    <x v="5"/>
    <s v="Ali"/>
  </r>
  <r>
    <s v="ORD067"/>
    <s v="C007"/>
    <s v="Hamza Ali"/>
    <x v="2"/>
    <x v="1"/>
    <s v="Accessories"/>
    <n v="1"/>
    <n v="2500"/>
    <n v="0.05"/>
    <n v="2375"/>
    <x v="6"/>
    <s v="Ahmed"/>
  </r>
  <r>
    <s v="ORD068"/>
    <s v="C008"/>
    <s v="Fatima Noor"/>
    <x v="1"/>
    <x v="0"/>
    <s v="Electronics"/>
    <n v="6"/>
    <n v="80000"/>
    <n v="0.1"/>
    <n v="432000"/>
    <x v="7"/>
    <s v="Zain"/>
  </r>
  <r>
    <s v="ORD069"/>
    <s v="C009"/>
    <s v="Bilal Ahmed"/>
    <x v="0"/>
    <x v="1"/>
    <s v="Accessories"/>
    <n v="1"/>
    <n v="2500"/>
    <n v="0"/>
    <n v="2500"/>
    <x v="8"/>
    <s v="Sara"/>
  </r>
  <r>
    <s v="ORD070"/>
    <s v="C010"/>
    <s v="Maham Khan"/>
    <x v="2"/>
    <x v="0"/>
    <s v="Electronics"/>
    <n v="6"/>
    <n v="80000"/>
    <n v="0"/>
    <n v="480000"/>
    <x v="9"/>
    <s v="Hira"/>
  </r>
  <r>
    <s v="ORD071"/>
    <s v="C011"/>
    <s v="Usman Tariq"/>
    <x v="1"/>
    <x v="2"/>
    <s v="Accessories"/>
    <n v="1"/>
    <n v="6000"/>
    <n v="0.05"/>
    <n v="5700"/>
    <x v="10"/>
    <s v="Ali"/>
  </r>
  <r>
    <s v="ORD072"/>
    <s v="C012"/>
    <s v="Sana Iqbal"/>
    <x v="0"/>
    <x v="3"/>
    <s v="Electronics"/>
    <n v="6"/>
    <n v="30000"/>
    <n v="0.1"/>
    <n v="162000"/>
    <x v="11"/>
    <s v="Ahmed"/>
  </r>
  <r>
    <s v="ORD073"/>
    <s v="C001"/>
    <s v="Ali Khan"/>
    <x v="0"/>
    <x v="2"/>
    <s v="Accessories"/>
    <n v="1"/>
    <n v="6000"/>
    <n v="0"/>
    <n v="6000"/>
    <x v="12"/>
    <s v="Zain"/>
  </r>
  <r>
    <s v="ORD074"/>
    <s v="C002"/>
    <s v="Sara Ahmed"/>
    <x v="1"/>
    <x v="3"/>
    <s v="Electronics"/>
    <n v="6"/>
    <n v="30000"/>
    <n v="0"/>
    <n v="180000"/>
    <x v="13"/>
    <s v="Sara"/>
  </r>
  <r>
    <s v="ORD075"/>
    <s v="C003"/>
    <s v="Ahmed Raza"/>
    <x v="0"/>
    <x v="2"/>
    <s v="Accessories"/>
    <n v="1"/>
    <n v="6000"/>
    <n v="0.05"/>
    <n v="5700"/>
    <x v="14"/>
    <s v="Hira"/>
  </r>
  <r>
    <s v="ORD076"/>
    <s v="C004"/>
    <s v="Hira Shah"/>
    <x v="2"/>
    <x v="3"/>
    <s v="Electronics"/>
    <n v="6"/>
    <n v="30000"/>
    <n v="0.1"/>
    <n v="162000"/>
    <x v="15"/>
    <s v="Ali"/>
  </r>
  <r>
    <s v="ORD077"/>
    <s v="C005"/>
    <s v="Zain Malik"/>
    <x v="1"/>
    <x v="2"/>
    <s v="Accessories"/>
    <n v="1"/>
    <n v="6000"/>
    <n v="0"/>
    <n v="6000"/>
    <x v="16"/>
    <s v="Ahmed"/>
  </r>
  <r>
    <s v="ORD078"/>
    <s v="C006"/>
    <s v="Ayesha Noor"/>
    <x v="0"/>
    <x v="4"/>
    <s v="Accessories"/>
    <n v="6"/>
    <n v="4500"/>
    <n v="0"/>
    <n v="27000"/>
    <x v="17"/>
    <s v="Zain"/>
  </r>
  <r>
    <s v="ORD079"/>
    <s v="C007"/>
    <s v="Hamza Ali"/>
    <x v="2"/>
    <x v="5"/>
    <s v="Electronics"/>
    <n v="1"/>
    <n v="25000"/>
    <n v="0.05"/>
    <n v="23750"/>
    <x v="18"/>
    <s v="Sara"/>
  </r>
  <r>
    <s v="ORD080"/>
    <s v="C008"/>
    <s v="Fatima Noor"/>
    <x v="1"/>
    <x v="4"/>
    <s v="Accessories"/>
    <n v="6"/>
    <n v="4500"/>
    <n v="0.1"/>
    <n v="24300"/>
    <x v="19"/>
    <s v="Hira"/>
  </r>
  <r>
    <s v="ORD081"/>
    <s v="C009"/>
    <s v="Bilal Ahmed"/>
    <x v="0"/>
    <x v="5"/>
    <s v="Electronics"/>
    <n v="1"/>
    <n v="25000"/>
    <n v="0"/>
    <n v="25000"/>
    <x v="20"/>
    <s v="Ali"/>
  </r>
  <r>
    <s v="ORD082"/>
    <s v="C010"/>
    <s v="Maham Khan"/>
    <x v="2"/>
    <x v="4"/>
    <s v="Accessories"/>
    <n v="6"/>
    <n v="4500"/>
    <n v="0"/>
    <n v="27000"/>
    <x v="21"/>
    <s v="Ahmed"/>
  </r>
  <r>
    <s v="ORD083"/>
    <s v="C011"/>
    <s v="Usman Tariq"/>
    <x v="1"/>
    <x v="5"/>
    <s v="Electronics"/>
    <n v="1"/>
    <n v="25000"/>
    <n v="0.05"/>
    <n v="23750"/>
    <x v="22"/>
    <s v="Zain"/>
  </r>
  <r>
    <s v="ORD084"/>
    <s v="C012"/>
    <s v="Sana Iqbal"/>
    <x v="0"/>
    <x v="4"/>
    <s v="Accessories"/>
    <n v="6"/>
    <n v="4500"/>
    <n v="0.1"/>
    <n v="24300"/>
    <x v="23"/>
    <s v="Sara"/>
  </r>
  <r>
    <s v="ORD085"/>
    <s v="C001"/>
    <s v="Ali Khan"/>
    <x v="0"/>
    <x v="0"/>
    <s v="Electronics"/>
    <n v="1"/>
    <n v="80000"/>
    <n v="0"/>
    <n v="80000"/>
    <x v="24"/>
    <s v="Hira"/>
  </r>
  <r>
    <s v="ORD086"/>
    <s v="C002"/>
    <s v="Sara Ahmed"/>
    <x v="1"/>
    <x v="1"/>
    <s v="Accessories"/>
    <n v="6"/>
    <n v="2500"/>
    <n v="0"/>
    <n v="15000"/>
    <x v="25"/>
    <s v="Ali"/>
  </r>
  <r>
    <s v="ORD087"/>
    <s v="C003"/>
    <s v="Ahmed Raza"/>
    <x v="0"/>
    <x v="0"/>
    <s v="Electronics"/>
    <n v="1"/>
    <n v="80000"/>
    <n v="0.05"/>
    <n v="76000"/>
    <x v="26"/>
    <s v="Ahmed"/>
  </r>
  <r>
    <s v="ORD088"/>
    <s v="C004"/>
    <s v="Hira Shah"/>
    <x v="2"/>
    <x v="1"/>
    <s v="Accessories"/>
    <n v="6"/>
    <n v="2500"/>
    <n v="0.1"/>
    <n v="13500"/>
    <x v="27"/>
    <s v="Zain"/>
  </r>
  <r>
    <s v="ORD089"/>
    <s v="C005"/>
    <s v="Zain Malik"/>
    <x v="1"/>
    <x v="0"/>
    <s v="Electronics"/>
    <n v="1"/>
    <n v="80000"/>
    <n v="0"/>
    <n v="80000"/>
    <x v="28"/>
    <s v="Sara"/>
  </r>
  <r>
    <s v="ORD090"/>
    <s v="C006"/>
    <s v="Ayesha Noor"/>
    <x v="0"/>
    <x v="1"/>
    <s v="Accessories"/>
    <n v="6"/>
    <n v="2500"/>
    <n v="0"/>
    <n v="15000"/>
    <x v="29"/>
    <s v="Hira"/>
  </r>
  <r>
    <s v="ORD091"/>
    <s v="C007"/>
    <s v="Hamza Ali"/>
    <x v="2"/>
    <x v="0"/>
    <s v="Electronics"/>
    <n v="1"/>
    <n v="80000"/>
    <n v="0.05"/>
    <n v="76000"/>
    <x v="30"/>
    <s v="Ali"/>
  </r>
  <r>
    <s v="ORD092"/>
    <s v="C008"/>
    <s v="Fatima Noor"/>
    <x v="1"/>
    <x v="2"/>
    <s v="Accessories"/>
    <n v="6"/>
    <n v="6000"/>
    <n v="0.1"/>
    <n v="32400"/>
    <x v="31"/>
    <s v="Ahmed"/>
  </r>
  <r>
    <s v="ORD093"/>
    <s v="C009"/>
    <s v="Bilal Ahmed"/>
    <x v="0"/>
    <x v="3"/>
    <s v="Electronics"/>
    <n v="1"/>
    <n v="30000"/>
    <n v="0"/>
    <n v="30000"/>
    <x v="32"/>
    <s v="Zain"/>
  </r>
  <r>
    <s v="ORD094"/>
    <s v="C010"/>
    <s v="Maham Khan"/>
    <x v="2"/>
    <x v="2"/>
    <s v="Accessories"/>
    <n v="6"/>
    <n v="6000"/>
    <n v="0"/>
    <n v="36000"/>
    <x v="33"/>
    <s v="Sara"/>
  </r>
  <r>
    <s v="ORD095"/>
    <s v="C011"/>
    <s v="Usman Tariq"/>
    <x v="1"/>
    <x v="3"/>
    <s v="Electronics"/>
    <n v="1"/>
    <n v="30000"/>
    <n v="0.05"/>
    <n v="28500"/>
    <x v="34"/>
    <s v="Hira"/>
  </r>
  <r>
    <s v="ORD096"/>
    <s v="C012"/>
    <s v="Sana Iqbal"/>
    <x v="0"/>
    <x v="2"/>
    <s v="Accessories"/>
    <n v="6"/>
    <n v="6000"/>
    <n v="0.1"/>
    <n v="32400"/>
    <x v="35"/>
    <s v="Ali"/>
  </r>
  <r>
    <s v="ORD097"/>
    <s v="C001"/>
    <s v="Ali Khan"/>
    <x v="0"/>
    <x v="3"/>
    <s v="Electronics"/>
    <n v="1"/>
    <n v="30000"/>
    <n v="0"/>
    <n v="30000"/>
    <x v="36"/>
    <s v="Ahmed"/>
  </r>
  <r>
    <s v="ORD098"/>
    <s v="C002"/>
    <s v="Sara Ahmed"/>
    <x v="1"/>
    <x v="2"/>
    <s v="Accessories"/>
    <n v="6"/>
    <n v="6000"/>
    <n v="0"/>
    <n v="36000"/>
    <x v="37"/>
    <s v="Zain"/>
  </r>
  <r>
    <s v="ORD099"/>
    <s v="C003"/>
    <s v="Ahmed Raza"/>
    <x v="0"/>
    <x v="4"/>
    <s v="Accessories"/>
    <n v="1"/>
    <n v="4500"/>
    <n v="0.05"/>
    <n v="4275"/>
    <x v="38"/>
    <s v="Sara"/>
  </r>
  <r>
    <s v="ORD100"/>
    <s v="C004"/>
    <s v="Hira Shah"/>
    <x v="2"/>
    <x v="5"/>
    <s v="Electronics"/>
    <n v="6"/>
    <n v="25000"/>
    <n v="0.1"/>
    <n v="135000"/>
    <x v="39"/>
    <s v="Hira"/>
  </r>
  <r>
    <s v="ORD101"/>
    <s v="C005"/>
    <s v="Zain Malik"/>
    <x v="1"/>
    <x v="4"/>
    <s v="Accessories"/>
    <n v="1"/>
    <n v="4500"/>
    <n v="0"/>
    <n v="4500"/>
    <x v="40"/>
    <s v="Ali"/>
  </r>
  <r>
    <s v="ORD102"/>
    <s v="C006"/>
    <s v="Ayesha Noor"/>
    <x v="0"/>
    <x v="5"/>
    <s v="Electronics"/>
    <n v="6"/>
    <n v="25000"/>
    <n v="0"/>
    <n v="150000"/>
    <x v="41"/>
    <s v="Ahmed"/>
  </r>
  <r>
    <s v="ORD103"/>
    <s v="C007"/>
    <s v="Hamza Ali"/>
    <x v="2"/>
    <x v="4"/>
    <s v="Accessories"/>
    <n v="1"/>
    <n v="4500"/>
    <n v="0.05"/>
    <n v="4275"/>
    <x v="42"/>
    <s v="Zain"/>
  </r>
  <r>
    <s v="ORD104"/>
    <s v="C008"/>
    <s v="Fatima Noor"/>
    <x v="1"/>
    <x v="5"/>
    <s v="Electronics"/>
    <n v="6"/>
    <n v="25000"/>
    <n v="0.1"/>
    <n v="135000"/>
    <x v="43"/>
    <s v="Sara"/>
  </r>
  <r>
    <s v="ORD105"/>
    <s v="C009"/>
    <s v="Bilal Ahmed"/>
    <x v="0"/>
    <x v="4"/>
    <s v="Accessories"/>
    <n v="1"/>
    <n v="4500"/>
    <n v="0"/>
    <n v="4500"/>
    <x v="44"/>
    <s v="Hira"/>
  </r>
  <r>
    <s v="ORD106"/>
    <s v="C010"/>
    <s v="Maham Khan"/>
    <x v="2"/>
    <x v="0"/>
    <s v="Electronics"/>
    <n v="6"/>
    <n v="80000"/>
    <n v="0"/>
    <n v="480000"/>
    <x v="45"/>
    <s v="Ali"/>
  </r>
  <r>
    <s v="ORD107"/>
    <s v="C011"/>
    <s v="Usman Tariq"/>
    <x v="1"/>
    <x v="1"/>
    <s v="Accessories"/>
    <n v="1"/>
    <n v="2500"/>
    <n v="0.05"/>
    <n v="2375"/>
    <x v="46"/>
    <s v="Ahmed"/>
  </r>
  <r>
    <s v="ORD108"/>
    <s v="C012"/>
    <s v="Sana Iqbal"/>
    <x v="0"/>
    <x v="0"/>
    <s v="Electronics"/>
    <n v="6"/>
    <n v="80000"/>
    <n v="0.1"/>
    <n v="432000"/>
    <x v="47"/>
    <s v="Zain"/>
  </r>
  <r>
    <s v="ORD109"/>
    <s v="C001"/>
    <s v="Ali Khan"/>
    <x v="0"/>
    <x v="1"/>
    <s v="Accessories"/>
    <n v="1"/>
    <n v="2500"/>
    <n v="0"/>
    <n v="2500"/>
    <x v="48"/>
    <s v="Sara"/>
  </r>
  <r>
    <s v="ORD110"/>
    <s v="C002"/>
    <s v="Sara Ahmed"/>
    <x v="1"/>
    <x v="0"/>
    <s v="Electronics"/>
    <n v="6"/>
    <n v="80000"/>
    <n v="0"/>
    <n v="480000"/>
    <x v="49"/>
    <s v="Hira"/>
  </r>
  <r>
    <s v="ORD111"/>
    <s v="C003"/>
    <s v="Ahmed Raza"/>
    <x v="0"/>
    <x v="1"/>
    <s v="Accessories"/>
    <n v="1"/>
    <n v="2500"/>
    <n v="0.05"/>
    <n v="2375"/>
    <x v="50"/>
    <s v="Ali"/>
  </r>
  <r>
    <s v="ORD112"/>
    <s v="C004"/>
    <s v="Hira Shah"/>
    <x v="2"/>
    <x v="0"/>
    <s v="Electronics"/>
    <n v="6"/>
    <n v="80000"/>
    <n v="0.1"/>
    <n v="432000"/>
    <x v="51"/>
    <s v="Ahmed"/>
  </r>
  <r>
    <s v="ORD113"/>
    <s v="C005"/>
    <s v="Zain Malik"/>
    <x v="1"/>
    <x v="2"/>
    <s v="Accessories"/>
    <n v="1"/>
    <n v="6000"/>
    <n v="0"/>
    <n v="6000"/>
    <x v="52"/>
    <s v="Zain"/>
  </r>
  <r>
    <s v="ORD114"/>
    <s v="C006"/>
    <s v="Ayesha Noor"/>
    <x v="0"/>
    <x v="3"/>
    <s v="Electronics"/>
    <n v="6"/>
    <n v="30000"/>
    <n v="0"/>
    <n v="180000"/>
    <x v="53"/>
    <s v="Sara"/>
  </r>
  <r>
    <s v="ORD115"/>
    <s v="C007"/>
    <s v="Hamza Ali"/>
    <x v="2"/>
    <x v="2"/>
    <s v="Accessories"/>
    <n v="1"/>
    <n v="6000"/>
    <n v="0.05"/>
    <n v="5700"/>
    <x v="54"/>
    <s v="Hira"/>
  </r>
  <r>
    <s v="ORD116"/>
    <s v="C008"/>
    <s v="Fatima Noor"/>
    <x v="1"/>
    <x v="3"/>
    <s v="Electronics"/>
    <n v="6"/>
    <n v="30000"/>
    <n v="0.1"/>
    <n v="162000"/>
    <x v="55"/>
    <s v="Ali"/>
  </r>
  <r>
    <s v="ORD117"/>
    <s v="C009"/>
    <s v="Bilal Ahmed"/>
    <x v="0"/>
    <x v="2"/>
    <s v="Accessories"/>
    <n v="1"/>
    <n v="6000"/>
    <n v="0"/>
    <n v="6000"/>
    <x v="56"/>
    <s v="Ahmed"/>
  </r>
  <r>
    <s v="ORD118"/>
    <s v="C010"/>
    <s v="Maham Khan"/>
    <x v="2"/>
    <x v="3"/>
    <s v="Electronics"/>
    <n v="6"/>
    <n v="30000"/>
    <n v="0"/>
    <n v="180000"/>
    <x v="57"/>
    <s v="Zain"/>
  </r>
  <r>
    <s v="ORD119"/>
    <s v="C011"/>
    <s v="Usman Tariq"/>
    <x v="1"/>
    <x v="2"/>
    <s v="Accessories"/>
    <n v="1"/>
    <n v="6000"/>
    <n v="0.05"/>
    <n v="5700"/>
    <x v="58"/>
    <s v="Sara"/>
  </r>
  <r>
    <s v="ORD120"/>
    <s v="C012"/>
    <s v="Sana Iqbal"/>
    <x v="0"/>
    <x v="4"/>
    <s v="Accessories"/>
    <n v="6"/>
    <n v="4500"/>
    <n v="0.1"/>
    <n v="24300"/>
    <x v="59"/>
    <s v="H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by region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B7" firstHeaderRow="1" firstDataRow="1" firstDataCol="1"/>
  <pivotFields count="13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7">
        <item sd="0" x="2"/>
        <item sd="0" x="4"/>
        <item sd="0" x="0"/>
        <item sd="0" x="3"/>
        <item sd="0" x="1"/>
        <item sd="0" x="5"/>
        <item t="default" sd="0"/>
      </items>
    </pivotField>
    <pivotField showAll="0"/>
    <pivotField showAll="0"/>
    <pivotField showAll="0"/>
    <pivotField showAll="0"/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formats count="1">
    <format dxfId="4">
      <pivotArea grandRow="1"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5" name="Order 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alesByProds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B10" firstHeaderRow="1" firstDataRow="1" firstDataCol="1"/>
  <pivotFields count="13">
    <pivotField showAll="0"/>
    <pivotField showAll="0"/>
    <pivotField showAll="0"/>
    <pivotField showAll="0"/>
    <pivotField axis="axisRow" showAll="0">
      <items count="7">
        <item x="2"/>
        <item x="4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6" name="Order 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3">
  <location ref="A1:B68" firstHeaderRow="1" firstDataRow="1" firstDataCol="1"/>
  <pivotFields count="13">
    <pivotField showAll="0"/>
    <pivotField showAll="0"/>
    <pivotField showAll="0"/>
    <pivotField showAll="0"/>
    <pivotField showAll="0">
      <items count="7">
        <item h="1" x="2"/>
        <item h="1" x="4"/>
        <item h="1" x="0"/>
        <item h="1" x="3"/>
        <item x="1"/>
        <item h="1" x="5"/>
        <item t="default"/>
      </items>
    </pivotField>
    <pivotField showAll="0"/>
    <pivotField showAll="0"/>
    <pivotField showAll="0"/>
    <pivotField showAll="0"/>
    <pivotField dataField="1"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2"/>
    <field x="10"/>
  </rowFields>
  <rowItems count="67">
    <i>
      <x v="1"/>
    </i>
    <i r="1">
      <x v="1"/>
    </i>
    <i r="1">
      <x v="4"/>
    </i>
    <i r="1">
      <x v="7"/>
    </i>
    <i r="1">
      <x v="10"/>
    </i>
    <i r="1">
      <x v="13"/>
    </i>
    <i r="1">
      <x v="16"/>
    </i>
    <i r="1">
      <x v="19"/>
    </i>
    <i r="1">
      <x v="22"/>
    </i>
    <i r="1">
      <x v="25"/>
    </i>
    <i r="1">
      <x v="28"/>
    </i>
    <i r="1">
      <x v="31"/>
    </i>
    <i>
      <x v="2"/>
    </i>
    <i r="1">
      <x v="34"/>
    </i>
    <i r="1">
      <x v="37"/>
    </i>
    <i r="1">
      <x v="40"/>
    </i>
    <i r="1">
      <x v="43"/>
    </i>
    <i r="1">
      <x v="46"/>
    </i>
    <i r="1">
      <x v="49"/>
    </i>
    <i r="1">
      <x v="52"/>
    </i>
    <i r="1">
      <x v="55"/>
    </i>
    <i r="1">
      <x v="58"/>
    </i>
    <i>
      <x v="3"/>
    </i>
    <i r="1">
      <x v="62"/>
    </i>
    <i r="1">
      <x v="65"/>
    </i>
    <i r="1">
      <x v="68"/>
    </i>
    <i r="1">
      <x v="71"/>
    </i>
    <i r="1">
      <x v="74"/>
    </i>
    <i r="1">
      <x v="77"/>
    </i>
    <i r="1">
      <x v="80"/>
    </i>
    <i r="1">
      <x v="83"/>
    </i>
    <i r="1">
      <x v="86"/>
    </i>
    <i r="1">
      <x v="89"/>
    </i>
    <i>
      <x v="4"/>
    </i>
    <i r="1">
      <x v="92"/>
    </i>
    <i r="1">
      <x v="95"/>
    </i>
    <i r="1">
      <x v="98"/>
    </i>
    <i r="1">
      <x v="101"/>
    </i>
    <i r="1">
      <x v="104"/>
    </i>
    <i r="1">
      <x v="107"/>
    </i>
    <i r="1">
      <x v="110"/>
    </i>
    <i r="1">
      <x v="113"/>
    </i>
    <i r="1">
      <x v="116"/>
    </i>
    <i r="1">
      <x v="119"/>
    </i>
    <i>
      <x v="5"/>
    </i>
    <i r="1">
      <x v="122"/>
    </i>
    <i r="1">
      <x v="125"/>
    </i>
    <i r="1">
      <x v="128"/>
    </i>
    <i r="1">
      <x v="131"/>
    </i>
    <i r="1">
      <x v="134"/>
    </i>
    <i r="1">
      <x v="137"/>
    </i>
    <i r="1">
      <x v="140"/>
    </i>
    <i r="1">
      <x v="143"/>
    </i>
    <i r="1">
      <x v="146"/>
    </i>
    <i r="1">
      <x v="149"/>
    </i>
    <i r="1">
      <x v="152"/>
    </i>
    <i>
      <x v="6"/>
    </i>
    <i r="1">
      <x v="155"/>
    </i>
    <i r="1">
      <x v="158"/>
    </i>
    <i r="1">
      <x v="161"/>
    </i>
    <i r="1">
      <x v="164"/>
    </i>
    <i r="1">
      <x v="167"/>
    </i>
    <i r="1">
      <x v="170"/>
    </i>
    <i r="1">
      <x v="173"/>
    </i>
    <i r="1">
      <x v="176"/>
    </i>
    <i r="1">
      <x v="179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45" name="Order 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B10" firstHeaderRow="1" firstDataRow="1" firstDataCol="1"/>
  <pivotFields count="13">
    <pivotField showAll="0"/>
    <pivotField showAll="0"/>
    <pivotField showAll="0"/>
    <pivotField showAll="0"/>
    <pivotField axis="axisRow" showAll="0">
      <items count="7">
        <item x="2"/>
        <item x="4"/>
        <item x="0"/>
        <item x="3"/>
        <item x="1"/>
        <item x="5"/>
        <item t="default"/>
      </items>
    </pivotField>
    <pivotField showAll="0"/>
    <pivotField dataField="1" showAll="0"/>
    <pivotField showAll="0"/>
    <pivotField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6" name="Order Date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L121" totalsRowShown="0" headerRowDxfId="3" headerRowBorderDxfId="2" tableBorderDxfId="1">
  <autoFilter ref="A1:L121"/>
  <tableColumns count="12">
    <tableColumn id="1" name="Order ID"/>
    <tableColumn id="2" name="Customer ID"/>
    <tableColumn id="3" name="Customer Name"/>
    <tableColumn id="4" name="Region"/>
    <tableColumn id="5" name="Product"/>
    <tableColumn id="6" name="Category"/>
    <tableColumn id="7" name="Units"/>
    <tableColumn id="8" name="Unit Price"/>
    <tableColumn id="9" name="Discount"/>
    <tableColumn id="10" name="Total Sales"/>
    <tableColumn id="11" name="Order Date" dataDxfId="0"/>
    <tableColumn id="12" name="Salesper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Order_Date" sourceName="Order Date">
  <pivotTables>
    <pivotTable tabId="4" name="PivotTable3"/>
    <pivotTable tabId="3" name="SalesByProds"/>
    <pivotTable tabId="2" name="Sales by region"/>
    <pivotTable tabId="5" name="PivotTable4"/>
  </pivotTables>
  <state minimalRefreshVersion="6" lastRefreshVersion="6" pivotCacheId="1" filterType="dateBetween">
    <selection startDate="2026-01-01T00:00:00" endDate="2026-12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Order Date" cache="NativeTimeline_Order_Date" caption="Order Date" level="1" selectionLevel="0" scrollPosition="2026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="70" zoomScaleNormal="70" workbookViewId="0">
      <selection activeCell="B7" sqref="B7"/>
    </sheetView>
  </sheetViews>
  <sheetFormatPr defaultRowHeight="15" x14ac:dyDescent="0.25"/>
  <cols>
    <col min="1" max="1" width="17.85546875" customWidth="1"/>
    <col min="2" max="2" width="23.140625" bestFit="1" customWidth="1"/>
  </cols>
  <sheetData>
    <row r="3" spans="1:2" x14ac:dyDescent="0.25">
      <c r="A3" s="3" t="s">
        <v>172</v>
      </c>
      <c r="B3" t="s">
        <v>174</v>
      </c>
    </row>
    <row r="4" spans="1:2" x14ac:dyDescent="0.25">
      <c r="A4" s="4" t="s">
        <v>33</v>
      </c>
      <c r="B4" s="5">
        <v>4178275</v>
      </c>
    </row>
    <row r="5" spans="1:2" x14ac:dyDescent="0.25">
      <c r="A5" s="4" t="s">
        <v>15</v>
      </c>
      <c r="B5" s="5">
        <v>3333225</v>
      </c>
    </row>
    <row r="6" spans="1:2" x14ac:dyDescent="0.25">
      <c r="A6" s="4" t="s">
        <v>22</v>
      </c>
      <c r="B6" s="5">
        <v>3043375</v>
      </c>
    </row>
    <row r="7" spans="1:2" x14ac:dyDescent="0.25">
      <c r="A7" s="4" t="s">
        <v>173</v>
      </c>
      <c r="B7" s="7">
        <v>10554875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9" sqref="B9"/>
    </sheetView>
  </sheetViews>
  <sheetFormatPr defaultRowHeight="15" x14ac:dyDescent="0.25"/>
  <cols>
    <col min="1" max="1" width="13.140625" customWidth="1"/>
    <col min="2" max="2" width="17.28515625" bestFit="1" customWidth="1"/>
  </cols>
  <sheetData>
    <row r="3" spans="1:2" x14ac:dyDescent="0.25">
      <c r="A3" s="3" t="s">
        <v>172</v>
      </c>
      <c r="B3" t="s">
        <v>174</v>
      </c>
    </row>
    <row r="4" spans="1:2" x14ac:dyDescent="0.25">
      <c r="A4" s="4" t="s">
        <v>48</v>
      </c>
      <c r="B4" s="5">
        <v>480600</v>
      </c>
    </row>
    <row r="5" spans="1:2" x14ac:dyDescent="0.25">
      <c r="A5" s="4" t="s">
        <v>65</v>
      </c>
      <c r="B5" s="5">
        <v>282150</v>
      </c>
    </row>
    <row r="6" spans="1:2" x14ac:dyDescent="0.25">
      <c r="A6" s="4" t="s">
        <v>16</v>
      </c>
      <c r="B6" s="5">
        <v>6408000</v>
      </c>
    </row>
    <row r="7" spans="1:2" x14ac:dyDescent="0.25">
      <c r="A7" s="4" t="s">
        <v>52</v>
      </c>
      <c r="B7" s="5">
        <v>1812000</v>
      </c>
    </row>
    <row r="8" spans="1:2" x14ac:dyDescent="0.25">
      <c r="A8" s="4" t="s">
        <v>23</v>
      </c>
      <c r="B8" s="5">
        <v>150875</v>
      </c>
    </row>
    <row r="9" spans="1:2" x14ac:dyDescent="0.25">
      <c r="A9" s="4" t="s">
        <v>67</v>
      </c>
      <c r="B9" s="5">
        <v>1421250</v>
      </c>
    </row>
    <row r="10" spans="1:2" x14ac:dyDescent="0.25">
      <c r="A10" s="4" t="s">
        <v>173</v>
      </c>
      <c r="B10" s="5">
        <v>10554875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2" width="17.28515625" bestFit="1" customWidth="1"/>
  </cols>
  <sheetData>
    <row r="1" spans="1:2" x14ac:dyDescent="0.25">
      <c r="A1" s="3" t="s">
        <v>172</v>
      </c>
      <c r="B1" t="s">
        <v>174</v>
      </c>
    </row>
    <row r="2" spans="1:2" x14ac:dyDescent="0.25">
      <c r="A2" s="4" t="s">
        <v>175</v>
      </c>
      <c r="B2" s="5"/>
    </row>
    <row r="3" spans="1:2" x14ac:dyDescent="0.25">
      <c r="A3" s="6" t="s">
        <v>196</v>
      </c>
      <c r="B3" s="5">
        <v>84500</v>
      </c>
    </row>
    <row r="4" spans="1:2" x14ac:dyDescent="0.25">
      <c r="A4" s="6" t="s">
        <v>221</v>
      </c>
      <c r="B4" s="5">
        <v>165000</v>
      </c>
    </row>
    <row r="5" spans="1:2" x14ac:dyDescent="0.25">
      <c r="A5" s="6" t="s">
        <v>197</v>
      </c>
      <c r="B5" s="5">
        <v>80275</v>
      </c>
    </row>
    <row r="6" spans="1:2" x14ac:dyDescent="0.25">
      <c r="A6" s="6" t="s">
        <v>176</v>
      </c>
      <c r="B6" s="5">
        <v>445500</v>
      </c>
    </row>
    <row r="7" spans="1:2" x14ac:dyDescent="0.25">
      <c r="A7" s="6" t="s">
        <v>222</v>
      </c>
      <c r="B7" s="5">
        <v>82500</v>
      </c>
    </row>
    <row r="8" spans="1:2" x14ac:dyDescent="0.25">
      <c r="A8" s="6" t="s">
        <v>198</v>
      </c>
      <c r="B8" s="5">
        <v>495000</v>
      </c>
    </row>
    <row r="9" spans="1:2" x14ac:dyDescent="0.25">
      <c r="A9" s="6" t="s">
        <v>177</v>
      </c>
      <c r="B9" s="5">
        <v>78375</v>
      </c>
    </row>
    <row r="10" spans="1:2" x14ac:dyDescent="0.25">
      <c r="A10" s="6" t="s">
        <v>223</v>
      </c>
      <c r="B10" s="5">
        <v>464400</v>
      </c>
    </row>
    <row r="11" spans="1:2" x14ac:dyDescent="0.25">
      <c r="A11" s="6" t="s">
        <v>199</v>
      </c>
      <c r="B11" s="5">
        <v>32500</v>
      </c>
    </row>
    <row r="12" spans="1:2" x14ac:dyDescent="0.25">
      <c r="A12" s="6" t="s">
        <v>178</v>
      </c>
      <c r="B12" s="5">
        <v>516000</v>
      </c>
    </row>
    <row r="13" spans="1:2" x14ac:dyDescent="0.25">
      <c r="A13" s="6" t="s">
        <v>224</v>
      </c>
      <c r="B13" s="5">
        <v>34200</v>
      </c>
    </row>
    <row r="14" spans="1:2" x14ac:dyDescent="0.25">
      <c r="A14" s="4" t="s">
        <v>179</v>
      </c>
      <c r="B14" s="5"/>
    </row>
    <row r="15" spans="1:2" x14ac:dyDescent="0.25">
      <c r="A15" s="6" t="s">
        <v>200</v>
      </c>
      <c r="B15" s="5">
        <v>194400</v>
      </c>
    </row>
    <row r="16" spans="1:2" x14ac:dyDescent="0.25">
      <c r="A16" s="6" t="s">
        <v>201</v>
      </c>
      <c r="B16" s="5">
        <v>36000</v>
      </c>
    </row>
    <row r="17" spans="1:2" x14ac:dyDescent="0.25">
      <c r="A17" s="6" t="s">
        <v>225</v>
      </c>
      <c r="B17" s="5">
        <v>216000</v>
      </c>
    </row>
    <row r="18" spans="1:2" x14ac:dyDescent="0.25">
      <c r="A18" s="6" t="s">
        <v>202</v>
      </c>
      <c r="B18" s="5">
        <v>9975</v>
      </c>
    </row>
    <row r="19" spans="1:2" x14ac:dyDescent="0.25">
      <c r="A19" s="6" t="s">
        <v>180</v>
      </c>
      <c r="B19" s="5">
        <v>297000</v>
      </c>
    </row>
    <row r="20" spans="1:2" x14ac:dyDescent="0.25">
      <c r="A20" s="6" t="s">
        <v>226</v>
      </c>
      <c r="B20" s="5">
        <v>10500</v>
      </c>
    </row>
    <row r="21" spans="1:2" x14ac:dyDescent="0.25">
      <c r="A21" s="6" t="s">
        <v>203</v>
      </c>
      <c r="B21" s="5">
        <v>177000</v>
      </c>
    </row>
    <row r="22" spans="1:2" x14ac:dyDescent="0.25">
      <c r="A22" s="6" t="s">
        <v>181</v>
      </c>
      <c r="B22" s="5">
        <v>28025</v>
      </c>
    </row>
    <row r="23" spans="1:2" x14ac:dyDescent="0.25">
      <c r="A23" s="6" t="s">
        <v>227</v>
      </c>
      <c r="B23" s="5">
        <v>159300</v>
      </c>
    </row>
    <row r="24" spans="1:2" x14ac:dyDescent="0.25">
      <c r="A24" s="4" t="s">
        <v>182</v>
      </c>
      <c r="B24" s="5"/>
    </row>
    <row r="25" spans="1:2" x14ac:dyDescent="0.25">
      <c r="A25" s="6" t="s">
        <v>204</v>
      </c>
      <c r="B25" s="5">
        <v>29500</v>
      </c>
    </row>
    <row r="26" spans="1:2" x14ac:dyDescent="0.25">
      <c r="A26" s="6" t="s">
        <v>183</v>
      </c>
      <c r="B26" s="5">
        <v>507000</v>
      </c>
    </row>
    <row r="27" spans="1:2" x14ac:dyDescent="0.25">
      <c r="A27" s="6" t="s">
        <v>228</v>
      </c>
      <c r="B27" s="5">
        <v>26125</v>
      </c>
    </row>
    <row r="28" spans="1:2" x14ac:dyDescent="0.25">
      <c r="A28" s="6" t="s">
        <v>205</v>
      </c>
      <c r="B28" s="5">
        <v>456300</v>
      </c>
    </row>
    <row r="29" spans="1:2" x14ac:dyDescent="0.25">
      <c r="A29" s="6" t="s">
        <v>206</v>
      </c>
      <c r="B29" s="5">
        <v>82500</v>
      </c>
    </row>
    <row r="30" spans="1:2" x14ac:dyDescent="0.25">
      <c r="A30" s="6" t="s">
        <v>229</v>
      </c>
      <c r="B30" s="5">
        <v>495000</v>
      </c>
    </row>
    <row r="31" spans="1:2" x14ac:dyDescent="0.25">
      <c r="A31" s="6" t="s">
        <v>207</v>
      </c>
      <c r="B31" s="5">
        <v>78375</v>
      </c>
    </row>
    <row r="32" spans="1:2" x14ac:dyDescent="0.25">
      <c r="A32" s="6" t="s">
        <v>184</v>
      </c>
      <c r="B32" s="5">
        <v>445500</v>
      </c>
    </row>
    <row r="33" spans="1:2" x14ac:dyDescent="0.25">
      <c r="A33" s="6" t="s">
        <v>230</v>
      </c>
      <c r="B33" s="5">
        <v>86000</v>
      </c>
    </row>
    <row r="34" spans="1:2" x14ac:dyDescent="0.25">
      <c r="A34" s="6" t="s">
        <v>208</v>
      </c>
      <c r="B34" s="5">
        <v>195000</v>
      </c>
    </row>
    <row r="35" spans="1:2" x14ac:dyDescent="0.25">
      <c r="A35" s="4" t="s">
        <v>185</v>
      </c>
      <c r="B35" s="5"/>
    </row>
    <row r="36" spans="1:2" x14ac:dyDescent="0.25">
      <c r="A36" s="6" t="s">
        <v>186</v>
      </c>
      <c r="B36" s="5">
        <v>81700</v>
      </c>
    </row>
    <row r="37" spans="1:2" x14ac:dyDescent="0.25">
      <c r="A37" s="6" t="s">
        <v>231</v>
      </c>
      <c r="B37" s="5">
        <v>194400</v>
      </c>
    </row>
    <row r="38" spans="1:2" x14ac:dyDescent="0.25">
      <c r="A38" s="6" t="s">
        <v>209</v>
      </c>
      <c r="B38" s="5">
        <v>36000</v>
      </c>
    </row>
    <row r="39" spans="1:2" x14ac:dyDescent="0.25">
      <c r="A39" s="6" t="s">
        <v>187</v>
      </c>
      <c r="B39" s="5">
        <v>216000</v>
      </c>
    </row>
    <row r="40" spans="1:2" x14ac:dyDescent="0.25">
      <c r="A40" s="6" t="s">
        <v>232</v>
      </c>
      <c r="B40" s="5">
        <v>34200</v>
      </c>
    </row>
    <row r="41" spans="1:2" x14ac:dyDescent="0.25">
      <c r="A41" s="6" t="s">
        <v>210</v>
      </c>
      <c r="B41" s="5">
        <v>56700</v>
      </c>
    </row>
    <row r="42" spans="1:2" x14ac:dyDescent="0.25">
      <c r="A42" s="6" t="s">
        <v>211</v>
      </c>
      <c r="B42" s="5">
        <v>55000</v>
      </c>
    </row>
    <row r="43" spans="1:2" x14ac:dyDescent="0.25">
      <c r="A43" s="6" t="s">
        <v>233</v>
      </c>
      <c r="B43" s="5">
        <v>63000</v>
      </c>
    </row>
    <row r="44" spans="1:2" x14ac:dyDescent="0.25">
      <c r="A44" s="6" t="s">
        <v>212</v>
      </c>
      <c r="B44" s="5">
        <v>28025</v>
      </c>
    </row>
    <row r="45" spans="1:2" x14ac:dyDescent="0.25">
      <c r="A45" s="6" t="s">
        <v>188</v>
      </c>
      <c r="B45" s="5">
        <v>159300</v>
      </c>
    </row>
    <row r="46" spans="1:2" x14ac:dyDescent="0.25">
      <c r="A46" s="4" t="s">
        <v>189</v>
      </c>
      <c r="B46" s="5"/>
    </row>
    <row r="47" spans="1:2" x14ac:dyDescent="0.25">
      <c r="A47" s="6" t="s">
        <v>234</v>
      </c>
      <c r="B47" s="5">
        <v>29500</v>
      </c>
    </row>
    <row r="48" spans="1:2" x14ac:dyDescent="0.25">
      <c r="A48" s="6" t="s">
        <v>213</v>
      </c>
      <c r="B48" s="5">
        <v>177000</v>
      </c>
    </row>
    <row r="49" spans="1:2" x14ac:dyDescent="0.25">
      <c r="A49" s="6" t="s">
        <v>190</v>
      </c>
      <c r="B49" s="5">
        <v>80275</v>
      </c>
    </row>
    <row r="50" spans="1:2" x14ac:dyDescent="0.25">
      <c r="A50" s="6" t="s">
        <v>235</v>
      </c>
      <c r="B50" s="5">
        <v>148500</v>
      </c>
    </row>
    <row r="51" spans="1:2" x14ac:dyDescent="0.25">
      <c r="A51" s="6" t="s">
        <v>214</v>
      </c>
      <c r="B51" s="5">
        <v>84500</v>
      </c>
    </row>
    <row r="52" spans="1:2" x14ac:dyDescent="0.25">
      <c r="A52" s="6" t="s">
        <v>191</v>
      </c>
      <c r="B52" s="5">
        <v>495000</v>
      </c>
    </row>
    <row r="53" spans="1:2" x14ac:dyDescent="0.25">
      <c r="A53" s="6" t="s">
        <v>236</v>
      </c>
      <c r="B53" s="5">
        <v>78375</v>
      </c>
    </row>
    <row r="54" spans="1:2" x14ac:dyDescent="0.25">
      <c r="A54" s="6" t="s">
        <v>215</v>
      </c>
      <c r="B54" s="5">
        <v>445500</v>
      </c>
    </row>
    <row r="55" spans="1:2" x14ac:dyDescent="0.25">
      <c r="A55" s="6" t="s">
        <v>216</v>
      </c>
      <c r="B55" s="5">
        <v>82500</v>
      </c>
    </row>
    <row r="56" spans="1:2" x14ac:dyDescent="0.25">
      <c r="A56" s="6" t="s">
        <v>237</v>
      </c>
      <c r="B56" s="5">
        <v>516000</v>
      </c>
    </row>
    <row r="57" spans="1:2" x14ac:dyDescent="0.25">
      <c r="A57" s="6" t="s">
        <v>217</v>
      </c>
      <c r="B57" s="5">
        <v>30875</v>
      </c>
    </row>
    <row r="58" spans="1:2" x14ac:dyDescent="0.25">
      <c r="A58" s="4" t="s">
        <v>192</v>
      </c>
      <c r="B58" s="5"/>
    </row>
    <row r="59" spans="1:2" x14ac:dyDescent="0.25">
      <c r="A59" s="6" t="s">
        <v>193</v>
      </c>
      <c r="B59" s="5">
        <v>464400</v>
      </c>
    </row>
    <row r="60" spans="1:2" x14ac:dyDescent="0.25">
      <c r="A60" s="6" t="s">
        <v>238</v>
      </c>
      <c r="B60" s="5">
        <v>36000</v>
      </c>
    </row>
    <row r="61" spans="1:2" x14ac:dyDescent="0.25">
      <c r="A61" s="6" t="s">
        <v>218</v>
      </c>
      <c r="B61" s="5">
        <v>216000</v>
      </c>
    </row>
    <row r="62" spans="1:2" x14ac:dyDescent="0.25">
      <c r="A62" s="6" t="s">
        <v>194</v>
      </c>
      <c r="B62" s="5">
        <v>34200</v>
      </c>
    </row>
    <row r="63" spans="1:2" x14ac:dyDescent="0.25">
      <c r="A63" s="6" t="s">
        <v>239</v>
      </c>
      <c r="B63" s="5">
        <v>194400</v>
      </c>
    </row>
    <row r="64" spans="1:2" x14ac:dyDescent="0.25">
      <c r="A64" s="6" t="s">
        <v>219</v>
      </c>
      <c r="B64" s="5">
        <v>10500</v>
      </c>
    </row>
    <row r="65" spans="1:2" x14ac:dyDescent="0.25">
      <c r="A65" s="6" t="s">
        <v>195</v>
      </c>
      <c r="B65" s="5">
        <v>330000</v>
      </c>
    </row>
    <row r="66" spans="1:2" x14ac:dyDescent="0.25">
      <c r="A66" s="6" t="s">
        <v>240</v>
      </c>
      <c r="B66" s="5">
        <v>9975</v>
      </c>
    </row>
    <row r="67" spans="1:2" x14ac:dyDescent="0.25">
      <c r="A67" s="6" t="s">
        <v>220</v>
      </c>
      <c r="B67" s="5">
        <v>159300</v>
      </c>
    </row>
    <row r="68" spans="1:2" x14ac:dyDescent="0.25">
      <c r="A68" s="4" t="s">
        <v>173</v>
      </c>
      <c r="B68" s="5">
        <v>10554875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7" sqref="A4:A9"/>
    </sheetView>
  </sheetViews>
  <sheetFormatPr defaultRowHeight="15" x14ac:dyDescent="0.25"/>
  <cols>
    <col min="1" max="1" width="13.140625" bestFit="1" customWidth="1"/>
    <col min="2" max="2" width="12.28515625" bestFit="1" customWidth="1"/>
  </cols>
  <sheetData>
    <row r="3" spans="1:2" x14ac:dyDescent="0.25">
      <c r="A3" s="3" t="s">
        <v>172</v>
      </c>
      <c r="B3" t="s">
        <v>241</v>
      </c>
    </row>
    <row r="4" spans="1:2" x14ac:dyDescent="0.25">
      <c r="A4" s="4" t="s">
        <v>48</v>
      </c>
      <c r="B4" s="5">
        <v>84</v>
      </c>
    </row>
    <row r="5" spans="1:2" x14ac:dyDescent="0.25">
      <c r="A5" s="4" t="s">
        <v>65</v>
      </c>
      <c r="B5" s="5">
        <v>66</v>
      </c>
    </row>
    <row r="6" spans="1:2" x14ac:dyDescent="0.25">
      <c r="A6" s="4" t="s">
        <v>16</v>
      </c>
      <c r="B6" s="5">
        <v>84</v>
      </c>
    </row>
    <row r="7" spans="1:2" x14ac:dyDescent="0.25">
      <c r="A7" s="4" t="s">
        <v>52</v>
      </c>
      <c r="B7" s="5">
        <v>63</v>
      </c>
    </row>
    <row r="8" spans="1:2" x14ac:dyDescent="0.25">
      <c r="A8" s="4" t="s">
        <v>23</v>
      </c>
      <c r="B8" s="5">
        <v>63</v>
      </c>
    </row>
    <row r="9" spans="1:2" x14ac:dyDescent="0.25">
      <c r="A9" s="4" t="s">
        <v>67</v>
      </c>
      <c r="B9" s="5">
        <v>60</v>
      </c>
    </row>
    <row r="10" spans="1:2" x14ac:dyDescent="0.25">
      <c r="A10" s="4" t="s">
        <v>173</v>
      </c>
      <c r="B10" s="5">
        <v>420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workbookViewId="0">
      <selection activeCell="J2" sqref="A2:L121"/>
    </sheetView>
  </sheetViews>
  <sheetFormatPr defaultRowHeight="15" x14ac:dyDescent="0.25"/>
  <cols>
    <col min="1" max="1" width="10.5703125" customWidth="1"/>
    <col min="2" max="2" width="14" customWidth="1"/>
    <col min="3" max="3" width="17.42578125" customWidth="1"/>
    <col min="4" max="4" width="9.28515625" customWidth="1"/>
    <col min="5" max="5" width="10" customWidth="1"/>
    <col min="6" max="6" width="11" customWidth="1"/>
    <col min="8" max="8" width="11.85546875" customWidth="1"/>
    <col min="9" max="9" width="10.85546875" customWidth="1"/>
    <col min="10" max="10" width="12.5703125" customWidth="1"/>
    <col min="11" max="11" width="20.42578125" customWidth="1"/>
    <col min="12" max="12" width="13.855468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80000</v>
      </c>
      <c r="I2">
        <v>0</v>
      </c>
      <c r="J2">
        <v>80000</v>
      </c>
      <c r="K2" s="1">
        <v>46023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6</v>
      </c>
      <c r="H3">
        <v>2500</v>
      </c>
      <c r="I3">
        <v>0</v>
      </c>
      <c r="J3">
        <v>15000</v>
      </c>
      <c r="K3" s="1">
        <v>46026</v>
      </c>
      <c r="L3" t="s">
        <v>25</v>
      </c>
    </row>
    <row r="4" spans="1:12" x14ac:dyDescent="0.25">
      <c r="A4" t="s">
        <v>26</v>
      </c>
      <c r="B4" t="s">
        <v>27</v>
      </c>
      <c r="C4" t="s">
        <v>28</v>
      </c>
      <c r="D4" t="s">
        <v>15</v>
      </c>
      <c r="E4" t="s">
        <v>16</v>
      </c>
      <c r="F4" t="s">
        <v>17</v>
      </c>
      <c r="G4">
        <v>1</v>
      </c>
      <c r="H4">
        <v>80000</v>
      </c>
      <c r="I4">
        <v>0.05</v>
      </c>
      <c r="J4">
        <v>76000</v>
      </c>
      <c r="K4" s="1">
        <v>46029</v>
      </c>
      <c r="L4" t="s">
        <v>29</v>
      </c>
    </row>
    <row r="5" spans="1:12" x14ac:dyDescent="0.25">
      <c r="A5" t="s">
        <v>30</v>
      </c>
      <c r="B5" t="s">
        <v>31</v>
      </c>
      <c r="C5" t="s">
        <v>32</v>
      </c>
      <c r="D5" t="s">
        <v>33</v>
      </c>
      <c r="E5" t="s">
        <v>23</v>
      </c>
      <c r="F5" t="s">
        <v>24</v>
      </c>
      <c r="G5">
        <v>6</v>
      </c>
      <c r="H5">
        <v>2500</v>
      </c>
      <c r="I5">
        <v>0.1</v>
      </c>
      <c r="J5">
        <v>13500</v>
      </c>
      <c r="K5" s="1">
        <v>46032</v>
      </c>
      <c r="L5" t="s">
        <v>34</v>
      </c>
    </row>
    <row r="6" spans="1:12" x14ac:dyDescent="0.25">
      <c r="A6" t="s">
        <v>35</v>
      </c>
      <c r="B6" t="s">
        <v>36</v>
      </c>
      <c r="C6" t="s">
        <v>37</v>
      </c>
      <c r="D6" t="s">
        <v>22</v>
      </c>
      <c r="E6" t="s">
        <v>16</v>
      </c>
      <c r="F6" t="s">
        <v>17</v>
      </c>
      <c r="G6">
        <v>1</v>
      </c>
      <c r="H6">
        <v>80000</v>
      </c>
      <c r="I6">
        <v>0</v>
      </c>
      <c r="J6">
        <v>80000</v>
      </c>
      <c r="K6" s="1">
        <v>46035</v>
      </c>
      <c r="L6" t="s">
        <v>38</v>
      </c>
    </row>
    <row r="7" spans="1:12" x14ac:dyDescent="0.25">
      <c r="A7" t="s">
        <v>39</v>
      </c>
      <c r="B7" t="s">
        <v>40</v>
      </c>
      <c r="C7" t="s">
        <v>41</v>
      </c>
      <c r="D7" t="s">
        <v>15</v>
      </c>
      <c r="E7" t="s">
        <v>23</v>
      </c>
      <c r="F7" t="s">
        <v>24</v>
      </c>
      <c r="G7">
        <v>6</v>
      </c>
      <c r="H7">
        <v>2500</v>
      </c>
      <c r="I7">
        <v>0</v>
      </c>
      <c r="J7">
        <v>15000</v>
      </c>
      <c r="K7" s="1">
        <v>46038</v>
      </c>
      <c r="L7" t="s">
        <v>18</v>
      </c>
    </row>
    <row r="8" spans="1:12" x14ac:dyDescent="0.25">
      <c r="A8" t="s">
        <v>42</v>
      </c>
      <c r="B8" t="s">
        <v>43</v>
      </c>
      <c r="C8" t="s">
        <v>44</v>
      </c>
      <c r="D8" t="s">
        <v>33</v>
      </c>
      <c r="E8" t="s">
        <v>16</v>
      </c>
      <c r="F8" t="s">
        <v>17</v>
      </c>
      <c r="G8">
        <v>1</v>
      </c>
      <c r="H8">
        <v>80000</v>
      </c>
      <c r="I8">
        <v>0.05</v>
      </c>
      <c r="J8">
        <v>76000</v>
      </c>
      <c r="K8" s="1">
        <v>46041</v>
      </c>
      <c r="L8" t="s">
        <v>25</v>
      </c>
    </row>
    <row r="9" spans="1:12" x14ac:dyDescent="0.25">
      <c r="A9" t="s">
        <v>45</v>
      </c>
      <c r="B9" t="s">
        <v>46</v>
      </c>
      <c r="C9" t="s">
        <v>47</v>
      </c>
      <c r="D9" t="s">
        <v>22</v>
      </c>
      <c r="E9" t="s">
        <v>48</v>
      </c>
      <c r="F9" t="s">
        <v>24</v>
      </c>
      <c r="G9">
        <v>6</v>
      </c>
      <c r="H9">
        <v>6000</v>
      </c>
      <c r="I9">
        <v>0.1</v>
      </c>
      <c r="J9">
        <v>32400</v>
      </c>
      <c r="K9" s="1">
        <v>46044</v>
      </c>
      <c r="L9" t="s">
        <v>29</v>
      </c>
    </row>
    <row r="10" spans="1:12" x14ac:dyDescent="0.25">
      <c r="A10" t="s">
        <v>49</v>
      </c>
      <c r="B10" t="s">
        <v>50</v>
      </c>
      <c r="C10" t="s">
        <v>51</v>
      </c>
      <c r="D10" t="s">
        <v>15</v>
      </c>
      <c r="E10" t="s">
        <v>52</v>
      </c>
      <c r="F10" t="s">
        <v>17</v>
      </c>
      <c r="G10">
        <v>1</v>
      </c>
      <c r="H10">
        <v>30000</v>
      </c>
      <c r="I10">
        <v>0</v>
      </c>
      <c r="J10">
        <v>30000</v>
      </c>
      <c r="K10" s="1">
        <v>46047</v>
      </c>
      <c r="L10" t="s">
        <v>34</v>
      </c>
    </row>
    <row r="11" spans="1:12" x14ac:dyDescent="0.25">
      <c r="A11" t="s">
        <v>53</v>
      </c>
      <c r="B11" t="s">
        <v>54</v>
      </c>
      <c r="C11" t="s">
        <v>55</v>
      </c>
      <c r="D11" t="s">
        <v>33</v>
      </c>
      <c r="E11" t="s">
        <v>48</v>
      </c>
      <c r="F11" t="s">
        <v>24</v>
      </c>
      <c r="G11">
        <v>6</v>
      </c>
      <c r="H11">
        <v>6000</v>
      </c>
      <c r="I11">
        <v>0</v>
      </c>
      <c r="J11">
        <v>36000</v>
      </c>
      <c r="K11" s="1">
        <v>46050</v>
      </c>
      <c r="L11" t="s">
        <v>38</v>
      </c>
    </row>
    <row r="12" spans="1:12" x14ac:dyDescent="0.25">
      <c r="A12" t="s">
        <v>56</v>
      </c>
      <c r="B12" t="s">
        <v>57</v>
      </c>
      <c r="C12" t="s">
        <v>58</v>
      </c>
      <c r="D12" t="s">
        <v>22</v>
      </c>
      <c r="E12" t="s">
        <v>52</v>
      </c>
      <c r="F12" t="s">
        <v>17</v>
      </c>
      <c r="G12">
        <v>1</v>
      </c>
      <c r="H12">
        <v>30000</v>
      </c>
      <c r="I12">
        <v>0.05</v>
      </c>
      <c r="J12">
        <v>28500</v>
      </c>
      <c r="K12" s="1">
        <v>46053</v>
      </c>
      <c r="L12" t="s">
        <v>18</v>
      </c>
    </row>
    <row r="13" spans="1:12" x14ac:dyDescent="0.25">
      <c r="A13" t="s">
        <v>59</v>
      </c>
      <c r="B13" t="s">
        <v>60</v>
      </c>
      <c r="C13" t="s">
        <v>61</v>
      </c>
      <c r="D13" t="s">
        <v>15</v>
      </c>
      <c r="E13" t="s">
        <v>48</v>
      </c>
      <c r="F13" t="s">
        <v>24</v>
      </c>
      <c r="G13">
        <v>6</v>
      </c>
      <c r="H13">
        <v>6000</v>
      </c>
      <c r="I13">
        <v>0.1</v>
      </c>
      <c r="J13">
        <v>32400</v>
      </c>
      <c r="K13" s="1">
        <v>46056</v>
      </c>
      <c r="L13" t="s">
        <v>25</v>
      </c>
    </row>
    <row r="14" spans="1:12" x14ac:dyDescent="0.25">
      <c r="A14" t="s">
        <v>62</v>
      </c>
      <c r="B14" t="s">
        <v>13</v>
      </c>
      <c r="C14" t="s">
        <v>14</v>
      </c>
      <c r="D14" t="s">
        <v>15</v>
      </c>
      <c r="E14" t="s">
        <v>52</v>
      </c>
      <c r="F14" t="s">
        <v>17</v>
      </c>
      <c r="G14">
        <v>1</v>
      </c>
      <c r="H14">
        <v>30000</v>
      </c>
      <c r="I14">
        <v>0</v>
      </c>
      <c r="J14">
        <v>30000</v>
      </c>
      <c r="K14" s="1">
        <v>46059</v>
      </c>
      <c r="L14" t="s">
        <v>29</v>
      </c>
    </row>
    <row r="15" spans="1:12" x14ac:dyDescent="0.25">
      <c r="A15" t="s">
        <v>63</v>
      </c>
      <c r="B15" t="s">
        <v>20</v>
      </c>
      <c r="C15" t="s">
        <v>21</v>
      </c>
      <c r="D15" t="s">
        <v>22</v>
      </c>
      <c r="E15" t="s">
        <v>48</v>
      </c>
      <c r="F15" t="s">
        <v>24</v>
      </c>
      <c r="G15">
        <v>6</v>
      </c>
      <c r="H15">
        <v>6000</v>
      </c>
      <c r="I15">
        <v>0</v>
      </c>
      <c r="J15">
        <v>36000</v>
      </c>
      <c r="K15" s="1">
        <v>46062</v>
      </c>
      <c r="L15" t="s">
        <v>34</v>
      </c>
    </row>
    <row r="16" spans="1:12" x14ac:dyDescent="0.25">
      <c r="A16" t="s">
        <v>64</v>
      </c>
      <c r="B16" t="s">
        <v>27</v>
      </c>
      <c r="C16" t="s">
        <v>28</v>
      </c>
      <c r="D16" t="s">
        <v>15</v>
      </c>
      <c r="E16" t="s">
        <v>65</v>
      </c>
      <c r="F16" t="s">
        <v>24</v>
      </c>
      <c r="G16">
        <v>1</v>
      </c>
      <c r="H16">
        <v>4500</v>
      </c>
      <c r="I16">
        <v>0.05</v>
      </c>
      <c r="J16">
        <v>4275</v>
      </c>
      <c r="K16" s="1">
        <v>46065</v>
      </c>
      <c r="L16" t="s">
        <v>38</v>
      </c>
    </row>
    <row r="17" spans="1:12" x14ac:dyDescent="0.25">
      <c r="A17" t="s">
        <v>66</v>
      </c>
      <c r="B17" t="s">
        <v>31</v>
      </c>
      <c r="C17" t="s">
        <v>32</v>
      </c>
      <c r="D17" t="s">
        <v>33</v>
      </c>
      <c r="E17" t="s">
        <v>67</v>
      </c>
      <c r="F17" t="s">
        <v>17</v>
      </c>
      <c r="G17">
        <v>6</v>
      </c>
      <c r="H17">
        <v>25000</v>
      </c>
      <c r="I17">
        <v>0.1</v>
      </c>
      <c r="J17">
        <v>135000</v>
      </c>
      <c r="K17" s="1">
        <v>46068</v>
      </c>
      <c r="L17" t="s">
        <v>18</v>
      </c>
    </row>
    <row r="18" spans="1:12" x14ac:dyDescent="0.25">
      <c r="A18" t="s">
        <v>68</v>
      </c>
      <c r="B18" t="s">
        <v>36</v>
      </c>
      <c r="C18" t="s">
        <v>37</v>
      </c>
      <c r="D18" t="s">
        <v>22</v>
      </c>
      <c r="E18" t="s">
        <v>65</v>
      </c>
      <c r="F18" t="s">
        <v>24</v>
      </c>
      <c r="G18">
        <v>1</v>
      </c>
      <c r="H18">
        <v>4500</v>
      </c>
      <c r="I18">
        <v>0</v>
      </c>
      <c r="J18">
        <v>4500</v>
      </c>
      <c r="K18" s="1">
        <v>46071</v>
      </c>
      <c r="L18" t="s">
        <v>25</v>
      </c>
    </row>
    <row r="19" spans="1:12" x14ac:dyDescent="0.25">
      <c r="A19" t="s">
        <v>69</v>
      </c>
      <c r="B19" t="s">
        <v>40</v>
      </c>
      <c r="C19" t="s">
        <v>41</v>
      </c>
      <c r="D19" t="s">
        <v>15</v>
      </c>
      <c r="E19" t="s">
        <v>67</v>
      </c>
      <c r="F19" t="s">
        <v>17</v>
      </c>
      <c r="G19">
        <v>6</v>
      </c>
      <c r="H19">
        <v>25000</v>
      </c>
      <c r="I19">
        <v>0</v>
      </c>
      <c r="J19">
        <v>150000</v>
      </c>
      <c r="K19" s="1">
        <v>46074</v>
      </c>
      <c r="L19" t="s">
        <v>29</v>
      </c>
    </row>
    <row r="20" spans="1:12" x14ac:dyDescent="0.25">
      <c r="A20" t="s">
        <v>70</v>
      </c>
      <c r="B20" t="s">
        <v>43</v>
      </c>
      <c r="C20" t="s">
        <v>44</v>
      </c>
      <c r="D20" t="s">
        <v>33</v>
      </c>
      <c r="E20" t="s">
        <v>65</v>
      </c>
      <c r="F20" t="s">
        <v>24</v>
      </c>
      <c r="G20">
        <v>1</v>
      </c>
      <c r="H20">
        <v>4500</v>
      </c>
      <c r="I20">
        <v>0.05</v>
      </c>
      <c r="J20">
        <v>4275</v>
      </c>
      <c r="K20" s="1">
        <v>46077</v>
      </c>
      <c r="L20" t="s">
        <v>34</v>
      </c>
    </row>
    <row r="21" spans="1:12" x14ac:dyDescent="0.25">
      <c r="A21" t="s">
        <v>71</v>
      </c>
      <c r="B21" t="s">
        <v>46</v>
      </c>
      <c r="C21" t="s">
        <v>47</v>
      </c>
      <c r="D21" t="s">
        <v>22</v>
      </c>
      <c r="E21" t="s">
        <v>67</v>
      </c>
      <c r="F21" t="s">
        <v>17</v>
      </c>
      <c r="G21">
        <v>6</v>
      </c>
      <c r="H21">
        <v>25000</v>
      </c>
      <c r="I21">
        <v>0.1</v>
      </c>
      <c r="J21">
        <v>135000</v>
      </c>
      <c r="K21" s="1">
        <v>46080</v>
      </c>
      <c r="L21" t="s">
        <v>38</v>
      </c>
    </row>
    <row r="22" spans="1:12" x14ac:dyDescent="0.25">
      <c r="A22" t="s">
        <v>72</v>
      </c>
      <c r="B22" t="s">
        <v>50</v>
      </c>
      <c r="C22" t="s">
        <v>51</v>
      </c>
      <c r="D22" t="s">
        <v>15</v>
      </c>
      <c r="E22" t="s">
        <v>65</v>
      </c>
      <c r="F22" t="s">
        <v>24</v>
      </c>
      <c r="G22">
        <v>1</v>
      </c>
      <c r="H22">
        <v>4500</v>
      </c>
      <c r="I22">
        <v>0</v>
      </c>
      <c r="J22">
        <v>4500</v>
      </c>
      <c r="K22" s="1">
        <v>46083</v>
      </c>
      <c r="L22" t="s">
        <v>18</v>
      </c>
    </row>
    <row r="23" spans="1:12" x14ac:dyDescent="0.25">
      <c r="A23" t="s">
        <v>73</v>
      </c>
      <c r="B23" t="s">
        <v>54</v>
      </c>
      <c r="C23" t="s">
        <v>55</v>
      </c>
      <c r="D23" t="s">
        <v>33</v>
      </c>
      <c r="E23" t="s">
        <v>16</v>
      </c>
      <c r="F23" t="s">
        <v>17</v>
      </c>
      <c r="G23">
        <v>6</v>
      </c>
      <c r="H23">
        <v>80000</v>
      </c>
      <c r="I23">
        <v>0</v>
      </c>
      <c r="J23">
        <v>480000</v>
      </c>
      <c r="K23" s="1">
        <v>46086</v>
      </c>
      <c r="L23" t="s">
        <v>25</v>
      </c>
    </row>
    <row r="24" spans="1:12" x14ac:dyDescent="0.25">
      <c r="A24" t="s">
        <v>74</v>
      </c>
      <c r="B24" t="s">
        <v>57</v>
      </c>
      <c r="C24" t="s">
        <v>58</v>
      </c>
      <c r="D24" t="s">
        <v>22</v>
      </c>
      <c r="E24" t="s">
        <v>23</v>
      </c>
      <c r="F24" t="s">
        <v>24</v>
      </c>
      <c r="G24">
        <v>1</v>
      </c>
      <c r="H24">
        <v>2500</v>
      </c>
      <c r="I24">
        <v>0.05</v>
      </c>
      <c r="J24">
        <v>2375</v>
      </c>
      <c r="K24" s="1">
        <v>46089</v>
      </c>
      <c r="L24" t="s">
        <v>29</v>
      </c>
    </row>
    <row r="25" spans="1:12" x14ac:dyDescent="0.25">
      <c r="A25" t="s">
        <v>75</v>
      </c>
      <c r="B25" t="s">
        <v>60</v>
      </c>
      <c r="C25" t="s">
        <v>61</v>
      </c>
      <c r="D25" t="s">
        <v>15</v>
      </c>
      <c r="E25" t="s">
        <v>16</v>
      </c>
      <c r="F25" t="s">
        <v>17</v>
      </c>
      <c r="G25">
        <v>6</v>
      </c>
      <c r="H25">
        <v>80000</v>
      </c>
      <c r="I25">
        <v>0.1</v>
      </c>
      <c r="J25">
        <v>432000</v>
      </c>
      <c r="K25" s="1">
        <v>46092</v>
      </c>
      <c r="L25" t="s">
        <v>34</v>
      </c>
    </row>
    <row r="26" spans="1:12" x14ac:dyDescent="0.25">
      <c r="A26" t="s">
        <v>76</v>
      </c>
      <c r="B26" t="s">
        <v>13</v>
      </c>
      <c r="C26" t="s">
        <v>14</v>
      </c>
      <c r="D26" t="s">
        <v>15</v>
      </c>
      <c r="E26" t="s">
        <v>23</v>
      </c>
      <c r="F26" t="s">
        <v>24</v>
      </c>
      <c r="G26">
        <v>1</v>
      </c>
      <c r="H26">
        <v>2500</v>
      </c>
      <c r="I26">
        <v>0</v>
      </c>
      <c r="J26">
        <v>2500</v>
      </c>
      <c r="K26" s="1">
        <v>46095</v>
      </c>
      <c r="L26" t="s">
        <v>38</v>
      </c>
    </row>
    <row r="27" spans="1:12" x14ac:dyDescent="0.25">
      <c r="A27" t="s">
        <v>77</v>
      </c>
      <c r="B27" t="s">
        <v>20</v>
      </c>
      <c r="C27" t="s">
        <v>21</v>
      </c>
      <c r="D27" t="s">
        <v>22</v>
      </c>
      <c r="E27" t="s">
        <v>16</v>
      </c>
      <c r="F27" t="s">
        <v>17</v>
      </c>
      <c r="G27">
        <v>6</v>
      </c>
      <c r="H27">
        <v>80000</v>
      </c>
      <c r="I27">
        <v>0</v>
      </c>
      <c r="J27">
        <v>480000</v>
      </c>
      <c r="K27" s="1">
        <v>46098</v>
      </c>
      <c r="L27" t="s">
        <v>18</v>
      </c>
    </row>
    <row r="28" spans="1:12" x14ac:dyDescent="0.25">
      <c r="A28" t="s">
        <v>78</v>
      </c>
      <c r="B28" t="s">
        <v>27</v>
      </c>
      <c r="C28" t="s">
        <v>28</v>
      </c>
      <c r="D28" t="s">
        <v>15</v>
      </c>
      <c r="E28" t="s">
        <v>23</v>
      </c>
      <c r="F28" t="s">
        <v>24</v>
      </c>
      <c r="G28">
        <v>1</v>
      </c>
      <c r="H28">
        <v>2500</v>
      </c>
      <c r="I28">
        <v>0.05</v>
      </c>
      <c r="J28">
        <v>2375</v>
      </c>
      <c r="K28" s="1">
        <v>46101</v>
      </c>
      <c r="L28" t="s">
        <v>25</v>
      </c>
    </row>
    <row r="29" spans="1:12" x14ac:dyDescent="0.25">
      <c r="A29" t="s">
        <v>79</v>
      </c>
      <c r="B29" t="s">
        <v>31</v>
      </c>
      <c r="C29" t="s">
        <v>32</v>
      </c>
      <c r="D29" t="s">
        <v>33</v>
      </c>
      <c r="E29" t="s">
        <v>16</v>
      </c>
      <c r="F29" t="s">
        <v>17</v>
      </c>
      <c r="G29">
        <v>6</v>
      </c>
      <c r="H29">
        <v>80000</v>
      </c>
      <c r="I29">
        <v>0.1</v>
      </c>
      <c r="J29">
        <v>432000</v>
      </c>
      <c r="K29" s="1">
        <v>46104</v>
      </c>
      <c r="L29" t="s">
        <v>29</v>
      </c>
    </row>
    <row r="30" spans="1:12" x14ac:dyDescent="0.25">
      <c r="A30" t="s">
        <v>80</v>
      </c>
      <c r="B30" t="s">
        <v>36</v>
      </c>
      <c r="C30" t="s">
        <v>37</v>
      </c>
      <c r="D30" t="s">
        <v>22</v>
      </c>
      <c r="E30" t="s">
        <v>48</v>
      </c>
      <c r="F30" t="s">
        <v>24</v>
      </c>
      <c r="G30">
        <v>1</v>
      </c>
      <c r="H30">
        <v>6000</v>
      </c>
      <c r="I30">
        <v>0</v>
      </c>
      <c r="J30">
        <v>6000</v>
      </c>
      <c r="K30" s="1">
        <v>46107</v>
      </c>
      <c r="L30" t="s">
        <v>34</v>
      </c>
    </row>
    <row r="31" spans="1:12" x14ac:dyDescent="0.25">
      <c r="A31" t="s">
        <v>81</v>
      </c>
      <c r="B31" t="s">
        <v>40</v>
      </c>
      <c r="C31" t="s">
        <v>41</v>
      </c>
      <c r="D31" t="s">
        <v>15</v>
      </c>
      <c r="E31" t="s">
        <v>52</v>
      </c>
      <c r="F31" t="s">
        <v>17</v>
      </c>
      <c r="G31">
        <v>6</v>
      </c>
      <c r="H31">
        <v>30000</v>
      </c>
      <c r="I31">
        <v>0</v>
      </c>
      <c r="J31">
        <v>180000</v>
      </c>
      <c r="K31" s="1">
        <v>46110</v>
      </c>
      <c r="L31" t="s">
        <v>38</v>
      </c>
    </row>
    <row r="32" spans="1:12" x14ac:dyDescent="0.25">
      <c r="A32" t="s">
        <v>82</v>
      </c>
      <c r="B32" t="s">
        <v>43</v>
      </c>
      <c r="C32" t="s">
        <v>44</v>
      </c>
      <c r="D32" t="s">
        <v>33</v>
      </c>
      <c r="E32" t="s">
        <v>48</v>
      </c>
      <c r="F32" t="s">
        <v>24</v>
      </c>
      <c r="G32">
        <v>1</v>
      </c>
      <c r="H32">
        <v>6000</v>
      </c>
      <c r="I32">
        <v>0.05</v>
      </c>
      <c r="J32">
        <v>5700</v>
      </c>
      <c r="K32" s="1">
        <v>46113</v>
      </c>
      <c r="L32" t="s">
        <v>18</v>
      </c>
    </row>
    <row r="33" spans="1:12" x14ac:dyDescent="0.25">
      <c r="A33" t="s">
        <v>83</v>
      </c>
      <c r="B33" t="s">
        <v>46</v>
      </c>
      <c r="C33" t="s">
        <v>47</v>
      </c>
      <c r="D33" t="s">
        <v>22</v>
      </c>
      <c r="E33" t="s">
        <v>52</v>
      </c>
      <c r="F33" t="s">
        <v>17</v>
      </c>
      <c r="G33">
        <v>6</v>
      </c>
      <c r="H33">
        <v>30000</v>
      </c>
      <c r="I33">
        <v>0.1</v>
      </c>
      <c r="J33">
        <v>162000</v>
      </c>
      <c r="K33" s="1">
        <v>46116</v>
      </c>
      <c r="L33" t="s">
        <v>25</v>
      </c>
    </row>
    <row r="34" spans="1:12" x14ac:dyDescent="0.25">
      <c r="A34" t="s">
        <v>84</v>
      </c>
      <c r="B34" t="s">
        <v>50</v>
      </c>
      <c r="C34" t="s">
        <v>51</v>
      </c>
      <c r="D34" t="s">
        <v>15</v>
      </c>
      <c r="E34" t="s">
        <v>48</v>
      </c>
      <c r="F34" t="s">
        <v>24</v>
      </c>
      <c r="G34">
        <v>1</v>
      </c>
      <c r="H34">
        <v>6000</v>
      </c>
      <c r="I34">
        <v>0</v>
      </c>
      <c r="J34">
        <v>6000</v>
      </c>
      <c r="K34" s="1">
        <v>46119</v>
      </c>
      <c r="L34" t="s">
        <v>29</v>
      </c>
    </row>
    <row r="35" spans="1:12" x14ac:dyDescent="0.25">
      <c r="A35" t="s">
        <v>85</v>
      </c>
      <c r="B35" t="s">
        <v>54</v>
      </c>
      <c r="C35" t="s">
        <v>55</v>
      </c>
      <c r="D35" t="s">
        <v>33</v>
      </c>
      <c r="E35" t="s">
        <v>52</v>
      </c>
      <c r="F35" t="s">
        <v>17</v>
      </c>
      <c r="G35">
        <v>6</v>
      </c>
      <c r="H35">
        <v>30000</v>
      </c>
      <c r="I35">
        <v>0</v>
      </c>
      <c r="J35">
        <v>180000</v>
      </c>
      <c r="K35" s="1">
        <v>46122</v>
      </c>
      <c r="L35" t="s">
        <v>34</v>
      </c>
    </row>
    <row r="36" spans="1:12" x14ac:dyDescent="0.25">
      <c r="A36" t="s">
        <v>86</v>
      </c>
      <c r="B36" t="s">
        <v>57</v>
      </c>
      <c r="C36" t="s">
        <v>58</v>
      </c>
      <c r="D36" t="s">
        <v>22</v>
      </c>
      <c r="E36" t="s">
        <v>48</v>
      </c>
      <c r="F36" t="s">
        <v>24</v>
      </c>
      <c r="G36">
        <v>1</v>
      </c>
      <c r="H36">
        <v>6000</v>
      </c>
      <c r="I36">
        <v>0.05</v>
      </c>
      <c r="J36">
        <v>5700</v>
      </c>
      <c r="K36" s="1">
        <v>46125</v>
      </c>
      <c r="L36" t="s">
        <v>38</v>
      </c>
    </row>
    <row r="37" spans="1:12" x14ac:dyDescent="0.25">
      <c r="A37" t="s">
        <v>87</v>
      </c>
      <c r="B37" t="s">
        <v>60</v>
      </c>
      <c r="C37" t="s">
        <v>61</v>
      </c>
      <c r="D37" t="s">
        <v>15</v>
      </c>
      <c r="E37" t="s">
        <v>65</v>
      </c>
      <c r="F37" t="s">
        <v>24</v>
      </c>
      <c r="G37">
        <v>6</v>
      </c>
      <c r="H37">
        <v>4500</v>
      </c>
      <c r="I37">
        <v>0.1</v>
      </c>
      <c r="J37">
        <v>24300</v>
      </c>
      <c r="K37" s="1">
        <v>46128</v>
      </c>
      <c r="L37" t="s">
        <v>18</v>
      </c>
    </row>
    <row r="38" spans="1:12" x14ac:dyDescent="0.25">
      <c r="A38" t="s">
        <v>88</v>
      </c>
      <c r="B38" t="s">
        <v>13</v>
      </c>
      <c r="C38" t="s">
        <v>14</v>
      </c>
      <c r="D38" t="s">
        <v>15</v>
      </c>
      <c r="E38" t="s">
        <v>67</v>
      </c>
      <c r="F38" t="s">
        <v>17</v>
      </c>
      <c r="G38">
        <v>1</v>
      </c>
      <c r="H38">
        <v>25000</v>
      </c>
      <c r="I38">
        <v>0</v>
      </c>
      <c r="J38">
        <v>25000</v>
      </c>
      <c r="K38" s="1">
        <v>46131</v>
      </c>
      <c r="L38" t="s">
        <v>25</v>
      </c>
    </row>
    <row r="39" spans="1:12" x14ac:dyDescent="0.25">
      <c r="A39" t="s">
        <v>89</v>
      </c>
      <c r="B39" t="s">
        <v>20</v>
      </c>
      <c r="C39" t="s">
        <v>21</v>
      </c>
      <c r="D39" t="s">
        <v>22</v>
      </c>
      <c r="E39" t="s">
        <v>65</v>
      </c>
      <c r="F39" t="s">
        <v>24</v>
      </c>
      <c r="G39">
        <v>6</v>
      </c>
      <c r="H39">
        <v>4500</v>
      </c>
      <c r="I39">
        <v>0</v>
      </c>
      <c r="J39">
        <v>27000</v>
      </c>
      <c r="K39" s="1">
        <v>46134</v>
      </c>
      <c r="L39" t="s">
        <v>29</v>
      </c>
    </row>
    <row r="40" spans="1:12" x14ac:dyDescent="0.25">
      <c r="A40" t="s">
        <v>90</v>
      </c>
      <c r="B40" t="s">
        <v>27</v>
      </c>
      <c r="C40" t="s">
        <v>28</v>
      </c>
      <c r="D40" t="s">
        <v>15</v>
      </c>
      <c r="E40" t="s">
        <v>67</v>
      </c>
      <c r="F40" t="s">
        <v>17</v>
      </c>
      <c r="G40">
        <v>1</v>
      </c>
      <c r="H40">
        <v>25000</v>
      </c>
      <c r="I40">
        <v>0.05</v>
      </c>
      <c r="J40">
        <v>23750</v>
      </c>
      <c r="K40" s="1">
        <v>46137</v>
      </c>
      <c r="L40" t="s">
        <v>34</v>
      </c>
    </row>
    <row r="41" spans="1:12" x14ac:dyDescent="0.25">
      <c r="A41" t="s">
        <v>91</v>
      </c>
      <c r="B41" t="s">
        <v>31</v>
      </c>
      <c r="C41" t="s">
        <v>32</v>
      </c>
      <c r="D41" t="s">
        <v>33</v>
      </c>
      <c r="E41" t="s">
        <v>65</v>
      </c>
      <c r="F41" t="s">
        <v>24</v>
      </c>
      <c r="G41">
        <v>6</v>
      </c>
      <c r="H41">
        <v>4500</v>
      </c>
      <c r="I41">
        <v>0.1</v>
      </c>
      <c r="J41">
        <v>24300</v>
      </c>
      <c r="K41" s="1">
        <v>46140</v>
      </c>
      <c r="L41" t="s">
        <v>38</v>
      </c>
    </row>
    <row r="42" spans="1:12" x14ac:dyDescent="0.25">
      <c r="A42" t="s">
        <v>92</v>
      </c>
      <c r="B42" t="s">
        <v>36</v>
      </c>
      <c r="C42" t="s">
        <v>37</v>
      </c>
      <c r="D42" t="s">
        <v>22</v>
      </c>
      <c r="E42" t="s">
        <v>67</v>
      </c>
      <c r="F42" t="s">
        <v>17</v>
      </c>
      <c r="G42">
        <v>1</v>
      </c>
      <c r="H42">
        <v>25000</v>
      </c>
      <c r="I42">
        <v>0</v>
      </c>
      <c r="J42">
        <v>25000</v>
      </c>
      <c r="K42" s="1">
        <v>46143</v>
      </c>
      <c r="L42" t="s">
        <v>18</v>
      </c>
    </row>
    <row r="43" spans="1:12" x14ac:dyDescent="0.25">
      <c r="A43" t="s">
        <v>93</v>
      </c>
      <c r="B43" t="s">
        <v>40</v>
      </c>
      <c r="C43" t="s">
        <v>41</v>
      </c>
      <c r="D43" t="s">
        <v>15</v>
      </c>
      <c r="E43" t="s">
        <v>65</v>
      </c>
      <c r="F43" t="s">
        <v>24</v>
      </c>
      <c r="G43">
        <v>6</v>
      </c>
      <c r="H43">
        <v>4500</v>
      </c>
      <c r="I43">
        <v>0</v>
      </c>
      <c r="J43">
        <v>27000</v>
      </c>
      <c r="K43" s="1">
        <v>46146</v>
      </c>
      <c r="L43" t="s">
        <v>25</v>
      </c>
    </row>
    <row r="44" spans="1:12" x14ac:dyDescent="0.25">
      <c r="A44" t="s">
        <v>94</v>
      </c>
      <c r="B44" t="s">
        <v>43</v>
      </c>
      <c r="C44" t="s">
        <v>44</v>
      </c>
      <c r="D44" t="s">
        <v>33</v>
      </c>
      <c r="E44" t="s">
        <v>16</v>
      </c>
      <c r="F44" t="s">
        <v>17</v>
      </c>
      <c r="G44">
        <v>1</v>
      </c>
      <c r="H44">
        <v>80000</v>
      </c>
      <c r="I44">
        <v>0.05</v>
      </c>
      <c r="J44">
        <v>76000</v>
      </c>
      <c r="K44" s="1">
        <v>46149</v>
      </c>
      <c r="L44" t="s">
        <v>29</v>
      </c>
    </row>
    <row r="45" spans="1:12" x14ac:dyDescent="0.25">
      <c r="A45" t="s">
        <v>95</v>
      </c>
      <c r="B45" t="s">
        <v>46</v>
      </c>
      <c r="C45" t="s">
        <v>47</v>
      </c>
      <c r="D45" t="s">
        <v>22</v>
      </c>
      <c r="E45" t="s">
        <v>23</v>
      </c>
      <c r="F45" t="s">
        <v>24</v>
      </c>
      <c r="G45">
        <v>6</v>
      </c>
      <c r="H45">
        <v>2500</v>
      </c>
      <c r="I45">
        <v>0.1</v>
      </c>
      <c r="J45">
        <v>13500</v>
      </c>
      <c r="K45" s="1">
        <v>46152</v>
      </c>
      <c r="L45" t="s">
        <v>34</v>
      </c>
    </row>
    <row r="46" spans="1:12" x14ac:dyDescent="0.25">
      <c r="A46" t="s">
        <v>96</v>
      </c>
      <c r="B46" t="s">
        <v>50</v>
      </c>
      <c r="C46" t="s">
        <v>51</v>
      </c>
      <c r="D46" t="s">
        <v>15</v>
      </c>
      <c r="E46" t="s">
        <v>16</v>
      </c>
      <c r="F46" t="s">
        <v>17</v>
      </c>
      <c r="G46">
        <v>1</v>
      </c>
      <c r="H46">
        <v>80000</v>
      </c>
      <c r="I46">
        <v>0</v>
      </c>
      <c r="J46">
        <v>80000</v>
      </c>
      <c r="K46" s="1">
        <v>46155</v>
      </c>
      <c r="L46" t="s">
        <v>38</v>
      </c>
    </row>
    <row r="47" spans="1:12" x14ac:dyDescent="0.25">
      <c r="A47" t="s">
        <v>97</v>
      </c>
      <c r="B47" t="s">
        <v>54</v>
      </c>
      <c r="C47" t="s">
        <v>55</v>
      </c>
      <c r="D47" t="s">
        <v>33</v>
      </c>
      <c r="E47" t="s">
        <v>23</v>
      </c>
      <c r="F47" t="s">
        <v>24</v>
      </c>
      <c r="G47">
        <v>6</v>
      </c>
      <c r="H47">
        <v>2500</v>
      </c>
      <c r="I47">
        <v>0</v>
      </c>
      <c r="J47">
        <v>15000</v>
      </c>
      <c r="K47" s="1">
        <v>46158</v>
      </c>
      <c r="L47" t="s">
        <v>18</v>
      </c>
    </row>
    <row r="48" spans="1:12" x14ac:dyDescent="0.25">
      <c r="A48" t="s">
        <v>98</v>
      </c>
      <c r="B48" t="s">
        <v>57</v>
      </c>
      <c r="C48" t="s">
        <v>58</v>
      </c>
      <c r="D48" t="s">
        <v>22</v>
      </c>
      <c r="E48" t="s">
        <v>16</v>
      </c>
      <c r="F48" t="s">
        <v>17</v>
      </c>
      <c r="G48">
        <v>1</v>
      </c>
      <c r="H48">
        <v>80000</v>
      </c>
      <c r="I48">
        <v>0.05</v>
      </c>
      <c r="J48">
        <v>76000</v>
      </c>
      <c r="K48" s="1">
        <v>46161</v>
      </c>
      <c r="L48" t="s">
        <v>25</v>
      </c>
    </row>
    <row r="49" spans="1:12" x14ac:dyDescent="0.25">
      <c r="A49" t="s">
        <v>99</v>
      </c>
      <c r="B49" t="s">
        <v>60</v>
      </c>
      <c r="C49" t="s">
        <v>61</v>
      </c>
      <c r="D49" t="s">
        <v>15</v>
      </c>
      <c r="E49" t="s">
        <v>23</v>
      </c>
      <c r="F49" t="s">
        <v>24</v>
      </c>
      <c r="G49">
        <v>6</v>
      </c>
      <c r="H49">
        <v>2500</v>
      </c>
      <c r="I49">
        <v>0.1</v>
      </c>
      <c r="J49">
        <v>13500</v>
      </c>
      <c r="K49" s="1">
        <v>46164</v>
      </c>
      <c r="L49" t="s">
        <v>29</v>
      </c>
    </row>
    <row r="50" spans="1:12" x14ac:dyDescent="0.25">
      <c r="A50" t="s">
        <v>100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1</v>
      </c>
      <c r="H50">
        <v>80000</v>
      </c>
      <c r="I50">
        <v>0</v>
      </c>
      <c r="J50">
        <v>80000</v>
      </c>
      <c r="K50" s="1">
        <v>46167</v>
      </c>
      <c r="L50" t="s">
        <v>34</v>
      </c>
    </row>
    <row r="51" spans="1:12" x14ac:dyDescent="0.25">
      <c r="A51" t="s">
        <v>101</v>
      </c>
      <c r="B51" t="s">
        <v>20</v>
      </c>
      <c r="C51" t="s">
        <v>21</v>
      </c>
      <c r="D51" t="s">
        <v>22</v>
      </c>
      <c r="E51" t="s">
        <v>48</v>
      </c>
      <c r="F51" t="s">
        <v>24</v>
      </c>
      <c r="G51">
        <v>6</v>
      </c>
      <c r="H51">
        <v>6000</v>
      </c>
      <c r="I51">
        <v>0</v>
      </c>
      <c r="J51">
        <v>36000</v>
      </c>
      <c r="K51" s="1">
        <v>46170</v>
      </c>
      <c r="L51" t="s">
        <v>38</v>
      </c>
    </row>
    <row r="52" spans="1:12" x14ac:dyDescent="0.25">
      <c r="A52" t="s">
        <v>102</v>
      </c>
      <c r="B52" t="s">
        <v>27</v>
      </c>
      <c r="C52" t="s">
        <v>28</v>
      </c>
      <c r="D52" t="s">
        <v>15</v>
      </c>
      <c r="E52" t="s">
        <v>52</v>
      </c>
      <c r="F52" t="s">
        <v>17</v>
      </c>
      <c r="G52">
        <v>1</v>
      </c>
      <c r="H52">
        <v>30000</v>
      </c>
      <c r="I52">
        <v>0.05</v>
      </c>
      <c r="J52">
        <v>28500</v>
      </c>
      <c r="K52" s="1">
        <v>46173</v>
      </c>
      <c r="L52" t="s">
        <v>18</v>
      </c>
    </row>
    <row r="53" spans="1:12" x14ac:dyDescent="0.25">
      <c r="A53" t="s">
        <v>103</v>
      </c>
      <c r="B53" t="s">
        <v>31</v>
      </c>
      <c r="C53" t="s">
        <v>32</v>
      </c>
      <c r="D53" t="s">
        <v>33</v>
      </c>
      <c r="E53" t="s">
        <v>48</v>
      </c>
      <c r="F53" t="s">
        <v>24</v>
      </c>
      <c r="G53">
        <v>6</v>
      </c>
      <c r="H53">
        <v>6000</v>
      </c>
      <c r="I53">
        <v>0.1</v>
      </c>
      <c r="J53">
        <v>32400</v>
      </c>
      <c r="K53" s="1">
        <v>46176</v>
      </c>
      <c r="L53" t="s">
        <v>25</v>
      </c>
    </row>
    <row r="54" spans="1:12" x14ac:dyDescent="0.25">
      <c r="A54" t="s">
        <v>104</v>
      </c>
      <c r="B54" t="s">
        <v>36</v>
      </c>
      <c r="C54" t="s">
        <v>37</v>
      </c>
      <c r="D54" t="s">
        <v>22</v>
      </c>
      <c r="E54" t="s">
        <v>52</v>
      </c>
      <c r="F54" t="s">
        <v>17</v>
      </c>
      <c r="G54">
        <v>1</v>
      </c>
      <c r="H54">
        <v>30000</v>
      </c>
      <c r="I54">
        <v>0</v>
      </c>
      <c r="J54">
        <v>30000</v>
      </c>
      <c r="K54" s="1">
        <v>46179</v>
      </c>
      <c r="L54" t="s">
        <v>29</v>
      </c>
    </row>
    <row r="55" spans="1:12" x14ac:dyDescent="0.25">
      <c r="A55" t="s">
        <v>105</v>
      </c>
      <c r="B55" t="s">
        <v>40</v>
      </c>
      <c r="C55" t="s">
        <v>41</v>
      </c>
      <c r="D55" t="s">
        <v>15</v>
      </c>
      <c r="E55" t="s">
        <v>48</v>
      </c>
      <c r="F55" t="s">
        <v>24</v>
      </c>
      <c r="G55">
        <v>6</v>
      </c>
      <c r="H55">
        <v>6000</v>
      </c>
      <c r="I55">
        <v>0</v>
      </c>
      <c r="J55">
        <v>36000</v>
      </c>
      <c r="K55" s="1">
        <v>46182</v>
      </c>
      <c r="L55" t="s">
        <v>34</v>
      </c>
    </row>
    <row r="56" spans="1:12" x14ac:dyDescent="0.25">
      <c r="A56" t="s">
        <v>106</v>
      </c>
      <c r="B56" t="s">
        <v>43</v>
      </c>
      <c r="C56" t="s">
        <v>44</v>
      </c>
      <c r="D56" t="s">
        <v>33</v>
      </c>
      <c r="E56" t="s">
        <v>52</v>
      </c>
      <c r="F56" t="s">
        <v>17</v>
      </c>
      <c r="G56">
        <v>1</v>
      </c>
      <c r="H56">
        <v>30000</v>
      </c>
      <c r="I56">
        <v>0.05</v>
      </c>
      <c r="J56">
        <v>28500</v>
      </c>
      <c r="K56" s="1">
        <v>46185</v>
      </c>
      <c r="L56" t="s">
        <v>38</v>
      </c>
    </row>
    <row r="57" spans="1:12" x14ac:dyDescent="0.25">
      <c r="A57" t="s">
        <v>107</v>
      </c>
      <c r="B57" t="s">
        <v>46</v>
      </c>
      <c r="C57" t="s">
        <v>47</v>
      </c>
      <c r="D57" t="s">
        <v>22</v>
      </c>
      <c r="E57" t="s">
        <v>48</v>
      </c>
      <c r="F57" t="s">
        <v>24</v>
      </c>
      <c r="G57">
        <v>6</v>
      </c>
      <c r="H57">
        <v>6000</v>
      </c>
      <c r="I57">
        <v>0.1</v>
      </c>
      <c r="J57">
        <v>32400</v>
      </c>
      <c r="K57" s="1">
        <v>46188</v>
      </c>
      <c r="L57" t="s">
        <v>18</v>
      </c>
    </row>
    <row r="58" spans="1:12" x14ac:dyDescent="0.25">
      <c r="A58" t="s">
        <v>108</v>
      </c>
      <c r="B58" t="s">
        <v>50</v>
      </c>
      <c r="C58" t="s">
        <v>51</v>
      </c>
      <c r="D58" t="s">
        <v>15</v>
      </c>
      <c r="E58" t="s">
        <v>65</v>
      </c>
      <c r="F58" t="s">
        <v>24</v>
      </c>
      <c r="G58">
        <v>1</v>
      </c>
      <c r="H58">
        <v>4500</v>
      </c>
      <c r="I58">
        <v>0</v>
      </c>
      <c r="J58">
        <v>4500</v>
      </c>
      <c r="K58" s="1">
        <v>46191</v>
      </c>
      <c r="L58" t="s">
        <v>25</v>
      </c>
    </row>
    <row r="59" spans="1:12" x14ac:dyDescent="0.25">
      <c r="A59" t="s">
        <v>109</v>
      </c>
      <c r="B59" t="s">
        <v>54</v>
      </c>
      <c r="C59" t="s">
        <v>55</v>
      </c>
      <c r="D59" t="s">
        <v>33</v>
      </c>
      <c r="E59" t="s">
        <v>67</v>
      </c>
      <c r="F59" t="s">
        <v>17</v>
      </c>
      <c r="G59">
        <v>6</v>
      </c>
      <c r="H59">
        <v>25000</v>
      </c>
      <c r="I59">
        <v>0</v>
      </c>
      <c r="J59">
        <v>150000</v>
      </c>
      <c r="K59" s="1">
        <v>46194</v>
      </c>
      <c r="L59" t="s">
        <v>29</v>
      </c>
    </row>
    <row r="60" spans="1:12" x14ac:dyDescent="0.25">
      <c r="A60" t="s">
        <v>110</v>
      </c>
      <c r="B60" t="s">
        <v>57</v>
      </c>
      <c r="C60" t="s">
        <v>58</v>
      </c>
      <c r="D60" t="s">
        <v>22</v>
      </c>
      <c r="E60" t="s">
        <v>65</v>
      </c>
      <c r="F60" t="s">
        <v>24</v>
      </c>
      <c r="G60">
        <v>1</v>
      </c>
      <c r="H60">
        <v>4500</v>
      </c>
      <c r="I60">
        <v>0.05</v>
      </c>
      <c r="J60">
        <v>4275</v>
      </c>
      <c r="K60" s="1">
        <v>46197</v>
      </c>
      <c r="L60" t="s">
        <v>34</v>
      </c>
    </row>
    <row r="61" spans="1:12" x14ac:dyDescent="0.25">
      <c r="A61" t="s">
        <v>111</v>
      </c>
      <c r="B61" t="s">
        <v>60</v>
      </c>
      <c r="C61" t="s">
        <v>61</v>
      </c>
      <c r="D61" t="s">
        <v>15</v>
      </c>
      <c r="E61" t="s">
        <v>67</v>
      </c>
      <c r="F61" t="s">
        <v>17</v>
      </c>
      <c r="G61">
        <v>6</v>
      </c>
      <c r="H61">
        <v>25000</v>
      </c>
      <c r="I61">
        <v>0.1</v>
      </c>
      <c r="J61">
        <v>135000</v>
      </c>
      <c r="K61" s="1">
        <v>46200</v>
      </c>
      <c r="L61" t="s">
        <v>38</v>
      </c>
    </row>
    <row r="62" spans="1:12" x14ac:dyDescent="0.25">
      <c r="A62" t="s">
        <v>112</v>
      </c>
      <c r="B62" t="s">
        <v>13</v>
      </c>
      <c r="C62" t="s">
        <v>14</v>
      </c>
      <c r="D62" t="s">
        <v>15</v>
      </c>
      <c r="E62" t="s">
        <v>65</v>
      </c>
      <c r="F62" t="s">
        <v>24</v>
      </c>
      <c r="G62">
        <v>1</v>
      </c>
      <c r="H62">
        <v>4500</v>
      </c>
      <c r="I62">
        <v>0</v>
      </c>
      <c r="J62">
        <v>4500</v>
      </c>
      <c r="K62" s="1">
        <v>46023</v>
      </c>
      <c r="L62" t="s">
        <v>18</v>
      </c>
    </row>
    <row r="63" spans="1:12" x14ac:dyDescent="0.25">
      <c r="A63" t="s">
        <v>113</v>
      </c>
      <c r="B63" t="s">
        <v>20</v>
      </c>
      <c r="C63" t="s">
        <v>21</v>
      </c>
      <c r="D63" t="s">
        <v>22</v>
      </c>
      <c r="E63" t="s">
        <v>67</v>
      </c>
      <c r="F63" t="s">
        <v>17</v>
      </c>
      <c r="G63">
        <v>6</v>
      </c>
      <c r="H63">
        <v>25000</v>
      </c>
      <c r="I63">
        <v>0</v>
      </c>
      <c r="J63">
        <v>150000</v>
      </c>
      <c r="K63" s="1">
        <v>46026</v>
      </c>
      <c r="L63" t="s">
        <v>25</v>
      </c>
    </row>
    <row r="64" spans="1:12" x14ac:dyDescent="0.25">
      <c r="A64" t="s">
        <v>114</v>
      </c>
      <c r="B64" t="s">
        <v>27</v>
      </c>
      <c r="C64" t="s">
        <v>28</v>
      </c>
      <c r="D64" t="s">
        <v>15</v>
      </c>
      <c r="E64" t="s">
        <v>65</v>
      </c>
      <c r="F64" t="s">
        <v>24</v>
      </c>
      <c r="G64">
        <v>1</v>
      </c>
      <c r="H64">
        <v>4500</v>
      </c>
      <c r="I64">
        <v>0.05</v>
      </c>
      <c r="J64">
        <v>4275</v>
      </c>
      <c r="K64" s="1">
        <v>46029</v>
      </c>
      <c r="L64" t="s">
        <v>29</v>
      </c>
    </row>
    <row r="65" spans="1:12" x14ac:dyDescent="0.25">
      <c r="A65" t="s">
        <v>115</v>
      </c>
      <c r="B65" t="s">
        <v>31</v>
      </c>
      <c r="C65" t="s">
        <v>32</v>
      </c>
      <c r="D65" t="s">
        <v>33</v>
      </c>
      <c r="E65" t="s">
        <v>16</v>
      </c>
      <c r="F65" t="s">
        <v>17</v>
      </c>
      <c r="G65">
        <v>6</v>
      </c>
      <c r="H65">
        <v>80000</v>
      </c>
      <c r="I65">
        <v>0.1</v>
      </c>
      <c r="J65">
        <v>432000</v>
      </c>
      <c r="K65" s="1">
        <v>46032</v>
      </c>
      <c r="L65" t="s">
        <v>34</v>
      </c>
    </row>
    <row r="66" spans="1:12" x14ac:dyDescent="0.25">
      <c r="A66" t="s">
        <v>116</v>
      </c>
      <c r="B66" t="s">
        <v>36</v>
      </c>
      <c r="C66" t="s">
        <v>37</v>
      </c>
      <c r="D66" t="s">
        <v>22</v>
      </c>
      <c r="E66" t="s">
        <v>23</v>
      </c>
      <c r="F66" t="s">
        <v>24</v>
      </c>
      <c r="G66">
        <v>1</v>
      </c>
      <c r="H66">
        <v>2500</v>
      </c>
      <c r="I66">
        <v>0</v>
      </c>
      <c r="J66">
        <v>2500</v>
      </c>
      <c r="K66" s="1">
        <v>46035</v>
      </c>
      <c r="L66" t="s">
        <v>38</v>
      </c>
    </row>
    <row r="67" spans="1:12" x14ac:dyDescent="0.25">
      <c r="A67" t="s">
        <v>117</v>
      </c>
      <c r="B67" t="s">
        <v>40</v>
      </c>
      <c r="C67" t="s">
        <v>41</v>
      </c>
      <c r="D67" t="s">
        <v>15</v>
      </c>
      <c r="E67" t="s">
        <v>16</v>
      </c>
      <c r="F67" t="s">
        <v>17</v>
      </c>
      <c r="G67">
        <v>6</v>
      </c>
      <c r="H67">
        <v>80000</v>
      </c>
      <c r="I67">
        <v>0</v>
      </c>
      <c r="J67">
        <v>480000</v>
      </c>
      <c r="K67" s="1">
        <v>46038</v>
      </c>
      <c r="L67" t="s">
        <v>18</v>
      </c>
    </row>
    <row r="68" spans="1:12" x14ac:dyDescent="0.25">
      <c r="A68" t="s">
        <v>118</v>
      </c>
      <c r="B68" t="s">
        <v>43</v>
      </c>
      <c r="C68" t="s">
        <v>44</v>
      </c>
      <c r="D68" t="s">
        <v>33</v>
      </c>
      <c r="E68" t="s">
        <v>23</v>
      </c>
      <c r="F68" t="s">
        <v>24</v>
      </c>
      <c r="G68">
        <v>1</v>
      </c>
      <c r="H68">
        <v>2500</v>
      </c>
      <c r="I68">
        <v>0.05</v>
      </c>
      <c r="J68">
        <v>2375</v>
      </c>
      <c r="K68" s="1">
        <v>46041</v>
      </c>
      <c r="L68" t="s">
        <v>25</v>
      </c>
    </row>
    <row r="69" spans="1:12" x14ac:dyDescent="0.25">
      <c r="A69" t="s">
        <v>119</v>
      </c>
      <c r="B69" t="s">
        <v>46</v>
      </c>
      <c r="C69" t="s">
        <v>47</v>
      </c>
      <c r="D69" t="s">
        <v>22</v>
      </c>
      <c r="E69" t="s">
        <v>16</v>
      </c>
      <c r="F69" t="s">
        <v>17</v>
      </c>
      <c r="G69">
        <v>6</v>
      </c>
      <c r="H69">
        <v>80000</v>
      </c>
      <c r="I69">
        <v>0.1</v>
      </c>
      <c r="J69">
        <v>432000</v>
      </c>
      <c r="K69" s="1">
        <v>46044</v>
      </c>
      <c r="L69" t="s">
        <v>29</v>
      </c>
    </row>
    <row r="70" spans="1:12" x14ac:dyDescent="0.25">
      <c r="A70" t="s">
        <v>120</v>
      </c>
      <c r="B70" t="s">
        <v>50</v>
      </c>
      <c r="C70" t="s">
        <v>51</v>
      </c>
      <c r="D70" t="s">
        <v>15</v>
      </c>
      <c r="E70" t="s">
        <v>23</v>
      </c>
      <c r="F70" t="s">
        <v>24</v>
      </c>
      <c r="G70">
        <v>1</v>
      </c>
      <c r="H70">
        <v>2500</v>
      </c>
      <c r="I70">
        <v>0</v>
      </c>
      <c r="J70">
        <v>2500</v>
      </c>
      <c r="K70" s="1">
        <v>46047</v>
      </c>
      <c r="L70" t="s">
        <v>34</v>
      </c>
    </row>
    <row r="71" spans="1:12" x14ac:dyDescent="0.25">
      <c r="A71" t="s">
        <v>121</v>
      </c>
      <c r="B71" t="s">
        <v>54</v>
      </c>
      <c r="C71" t="s">
        <v>55</v>
      </c>
      <c r="D71" t="s">
        <v>33</v>
      </c>
      <c r="E71" t="s">
        <v>16</v>
      </c>
      <c r="F71" t="s">
        <v>17</v>
      </c>
      <c r="G71">
        <v>6</v>
      </c>
      <c r="H71">
        <v>80000</v>
      </c>
      <c r="I71">
        <v>0</v>
      </c>
      <c r="J71">
        <v>480000</v>
      </c>
      <c r="K71" s="1">
        <v>46050</v>
      </c>
      <c r="L71" t="s">
        <v>38</v>
      </c>
    </row>
    <row r="72" spans="1:12" x14ac:dyDescent="0.25">
      <c r="A72" t="s">
        <v>122</v>
      </c>
      <c r="B72" t="s">
        <v>57</v>
      </c>
      <c r="C72" t="s">
        <v>58</v>
      </c>
      <c r="D72" t="s">
        <v>22</v>
      </c>
      <c r="E72" t="s">
        <v>48</v>
      </c>
      <c r="F72" t="s">
        <v>24</v>
      </c>
      <c r="G72">
        <v>1</v>
      </c>
      <c r="H72">
        <v>6000</v>
      </c>
      <c r="I72">
        <v>0.05</v>
      </c>
      <c r="J72">
        <v>5700</v>
      </c>
      <c r="K72" s="1">
        <v>46053</v>
      </c>
      <c r="L72" t="s">
        <v>18</v>
      </c>
    </row>
    <row r="73" spans="1:12" x14ac:dyDescent="0.25">
      <c r="A73" t="s">
        <v>123</v>
      </c>
      <c r="B73" t="s">
        <v>60</v>
      </c>
      <c r="C73" t="s">
        <v>61</v>
      </c>
      <c r="D73" t="s">
        <v>15</v>
      </c>
      <c r="E73" t="s">
        <v>52</v>
      </c>
      <c r="F73" t="s">
        <v>17</v>
      </c>
      <c r="G73">
        <v>6</v>
      </c>
      <c r="H73">
        <v>30000</v>
      </c>
      <c r="I73">
        <v>0.1</v>
      </c>
      <c r="J73">
        <v>162000</v>
      </c>
      <c r="K73" s="1">
        <v>46056</v>
      </c>
      <c r="L73" t="s">
        <v>25</v>
      </c>
    </row>
    <row r="74" spans="1:12" x14ac:dyDescent="0.25">
      <c r="A74" t="s">
        <v>124</v>
      </c>
      <c r="B74" t="s">
        <v>13</v>
      </c>
      <c r="C74" t="s">
        <v>14</v>
      </c>
      <c r="D74" t="s">
        <v>15</v>
      </c>
      <c r="E74" t="s">
        <v>48</v>
      </c>
      <c r="F74" t="s">
        <v>24</v>
      </c>
      <c r="G74">
        <v>1</v>
      </c>
      <c r="H74">
        <v>6000</v>
      </c>
      <c r="I74">
        <v>0</v>
      </c>
      <c r="J74">
        <v>6000</v>
      </c>
      <c r="K74" s="1">
        <v>46059</v>
      </c>
      <c r="L74" t="s">
        <v>29</v>
      </c>
    </row>
    <row r="75" spans="1:12" x14ac:dyDescent="0.25">
      <c r="A75" t="s">
        <v>125</v>
      </c>
      <c r="B75" t="s">
        <v>20</v>
      </c>
      <c r="C75" t="s">
        <v>21</v>
      </c>
      <c r="D75" t="s">
        <v>22</v>
      </c>
      <c r="E75" t="s">
        <v>52</v>
      </c>
      <c r="F75" t="s">
        <v>17</v>
      </c>
      <c r="G75">
        <v>6</v>
      </c>
      <c r="H75">
        <v>30000</v>
      </c>
      <c r="I75">
        <v>0</v>
      </c>
      <c r="J75">
        <v>180000</v>
      </c>
      <c r="K75" s="1">
        <v>46062</v>
      </c>
      <c r="L75" t="s">
        <v>34</v>
      </c>
    </row>
    <row r="76" spans="1:12" x14ac:dyDescent="0.25">
      <c r="A76" t="s">
        <v>126</v>
      </c>
      <c r="B76" t="s">
        <v>27</v>
      </c>
      <c r="C76" t="s">
        <v>28</v>
      </c>
      <c r="D76" t="s">
        <v>15</v>
      </c>
      <c r="E76" t="s">
        <v>48</v>
      </c>
      <c r="F76" t="s">
        <v>24</v>
      </c>
      <c r="G76">
        <v>1</v>
      </c>
      <c r="H76">
        <v>6000</v>
      </c>
      <c r="I76">
        <v>0.05</v>
      </c>
      <c r="J76">
        <v>5700</v>
      </c>
      <c r="K76" s="1">
        <v>46065</v>
      </c>
      <c r="L76" t="s">
        <v>38</v>
      </c>
    </row>
    <row r="77" spans="1:12" x14ac:dyDescent="0.25">
      <c r="A77" t="s">
        <v>127</v>
      </c>
      <c r="B77" t="s">
        <v>31</v>
      </c>
      <c r="C77" t="s">
        <v>32</v>
      </c>
      <c r="D77" t="s">
        <v>33</v>
      </c>
      <c r="E77" t="s">
        <v>52</v>
      </c>
      <c r="F77" t="s">
        <v>17</v>
      </c>
      <c r="G77">
        <v>6</v>
      </c>
      <c r="H77">
        <v>30000</v>
      </c>
      <c r="I77">
        <v>0.1</v>
      </c>
      <c r="J77">
        <v>162000</v>
      </c>
      <c r="K77" s="1">
        <v>46068</v>
      </c>
      <c r="L77" t="s">
        <v>18</v>
      </c>
    </row>
    <row r="78" spans="1:12" x14ac:dyDescent="0.25">
      <c r="A78" t="s">
        <v>128</v>
      </c>
      <c r="B78" t="s">
        <v>36</v>
      </c>
      <c r="C78" t="s">
        <v>37</v>
      </c>
      <c r="D78" t="s">
        <v>22</v>
      </c>
      <c r="E78" t="s">
        <v>48</v>
      </c>
      <c r="F78" t="s">
        <v>24</v>
      </c>
      <c r="G78">
        <v>1</v>
      </c>
      <c r="H78">
        <v>6000</v>
      </c>
      <c r="I78">
        <v>0</v>
      </c>
      <c r="J78">
        <v>6000</v>
      </c>
      <c r="K78" s="1">
        <v>46071</v>
      </c>
      <c r="L78" t="s">
        <v>25</v>
      </c>
    </row>
    <row r="79" spans="1:12" x14ac:dyDescent="0.25">
      <c r="A79" t="s">
        <v>129</v>
      </c>
      <c r="B79" t="s">
        <v>40</v>
      </c>
      <c r="C79" t="s">
        <v>41</v>
      </c>
      <c r="D79" t="s">
        <v>15</v>
      </c>
      <c r="E79" t="s">
        <v>65</v>
      </c>
      <c r="F79" t="s">
        <v>24</v>
      </c>
      <c r="G79">
        <v>6</v>
      </c>
      <c r="H79">
        <v>4500</v>
      </c>
      <c r="I79">
        <v>0</v>
      </c>
      <c r="J79">
        <v>27000</v>
      </c>
      <c r="K79" s="1">
        <v>46074</v>
      </c>
      <c r="L79" t="s">
        <v>29</v>
      </c>
    </row>
    <row r="80" spans="1:12" x14ac:dyDescent="0.25">
      <c r="A80" t="s">
        <v>130</v>
      </c>
      <c r="B80" t="s">
        <v>43</v>
      </c>
      <c r="C80" t="s">
        <v>44</v>
      </c>
      <c r="D80" t="s">
        <v>33</v>
      </c>
      <c r="E80" t="s">
        <v>67</v>
      </c>
      <c r="F80" t="s">
        <v>17</v>
      </c>
      <c r="G80">
        <v>1</v>
      </c>
      <c r="H80">
        <v>25000</v>
      </c>
      <c r="I80">
        <v>0.05</v>
      </c>
      <c r="J80">
        <v>23750</v>
      </c>
      <c r="K80" s="1">
        <v>46077</v>
      </c>
      <c r="L80" t="s">
        <v>34</v>
      </c>
    </row>
    <row r="81" spans="1:12" x14ac:dyDescent="0.25">
      <c r="A81" t="s">
        <v>131</v>
      </c>
      <c r="B81" t="s">
        <v>46</v>
      </c>
      <c r="C81" t="s">
        <v>47</v>
      </c>
      <c r="D81" t="s">
        <v>22</v>
      </c>
      <c r="E81" t="s">
        <v>65</v>
      </c>
      <c r="F81" t="s">
        <v>24</v>
      </c>
      <c r="G81">
        <v>6</v>
      </c>
      <c r="H81">
        <v>4500</v>
      </c>
      <c r="I81">
        <v>0.1</v>
      </c>
      <c r="J81">
        <v>24300</v>
      </c>
      <c r="K81" s="1">
        <v>46080</v>
      </c>
      <c r="L81" t="s">
        <v>38</v>
      </c>
    </row>
    <row r="82" spans="1:12" x14ac:dyDescent="0.25">
      <c r="A82" t="s">
        <v>132</v>
      </c>
      <c r="B82" t="s">
        <v>50</v>
      </c>
      <c r="C82" t="s">
        <v>51</v>
      </c>
      <c r="D82" t="s">
        <v>15</v>
      </c>
      <c r="E82" t="s">
        <v>67</v>
      </c>
      <c r="F82" t="s">
        <v>17</v>
      </c>
      <c r="G82">
        <v>1</v>
      </c>
      <c r="H82">
        <v>25000</v>
      </c>
      <c r="I82">
        <v>0</v>
      </c>
      <c r="J82">
        <v>25000</v>
      </c>
      <c r="K82" s="1">
        <v>46083</v>
      </c>
      <c r="L82" t="s">
        <v>18</v>
      </c>
    </row>
    <row r="83" spans="1:12" x14ac:dyDescent="0.25">
      <c r="A83" t="s">
        <v>133</v>
      </c>
      <c r="B83" t="s">
        <v>54</v>
      </c>
      <c r="C83" t="s">
        <v>55</v>
      </c>
      <c r="D83" t="s">
        <v>33</v>
      </c>
      <c r="E83" t="s">
        <v>65</v>
      </c>
      <c r="F83" t="s">
        <v>24</v>
      </c>
      <c r="G83">
        <v>6</v>
      </c>
      <c r="H83">
        <v>4500</v>
      </c>
      <c r="I83">
        <v>0</v>
      </c>
      <c r="J83">
        <v>27000</v>
      </c>
      <c r="K83" s="1">
        <v>46086</v>
      </c>
      <c r="L83" t="s">
        <v>25</v>
      </c>
    </row>
    <row r="84" spans="1:12" x14ac:dyDescent="0.25">
      <c r="A84" t="s">
        <v>134</v>
      </c>
      <c r="B84" t="s">
        <v>57</v>
      </c>
      <c r="C84" t="s">
        <v>58</v>
      </c>
      <c r="D84" t="s">
        <v>22</v>
      </c>
      <c r="E84" t="s">
        <v>67</v>
      </c>
      <c r="F84" t="s">
        <v>17</v>
      </c>
      <c r="G84">
        <v>1</v>
      </c>
      <c r="H84">
        <v>25000</v>
      </c>
      <c r="I84">
        <v>0.05</v>
      </c>
      <c r="J84">
        <v>23750</v>
      </c>
      <c r="K84" s="1">
        <v>46089</v>
      </c>
      <c r="L84" t="s">
        <v>29</v>
      </c>
    </row>
    <row r="85" spans="1:12" x14ac:dyDescent="0.25">
      <c r="A85" t="s">
        <v>135</v>
      </c>
      <c r="B85" t="s">
        <v>60</v>
      </c>
      <c r="C85" t="s">
        <v>61</v>
      </c>
      <c r="D85" t="s">
        <v>15</v>
      </c>
      <c r="E85" t="s">
        <v>65</v>
      </c>
      <c r="F85" t="s">
        <v>24</v>
      </c>
      <c r="G85">
        <v>6</v>
      </c>
      <c r="H85">
        <v>4500</v>
      </c>
      <c r="I85">
        <v>0.1</v>
      </c>
      <c r="J85">
        <v>24300</v>
      </c>
      <c r="K85" s="1">
        <v>46092</v>
      </c>
      <c r="L85" t="s">
        <v>34</v>
      </c>
    </row>
    <row r="86" spans="1:12" x14ac:dyDescent="0.25">
      <c r="A86" t="s">
        <v>136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>
        <v>80000</v>
      </c>
      <c r="I86">
        <v>0</v>
      </c>
      <c r="J86">
        <v>80000</v>
      </c>
      <c r="K86" s="1">
        <v>46095</v>
      </c>
      <c r="L86" t="s">
        <v>38</v>
      </c>
    </row>
    <row r="87" spans="1:12" x14ac:dyDescent="0.25">
      <c r="A87" t="s">
        <v>137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>
        <v>6</v>
      </c>
      <c r="H87">
        <v>2500</v>
      </c>
      <c r="I87">
        <v>0</v>
      </c>
      <c r="J87">
        <v>15000</v>
      </c>
      <c r="K87" s="1">
        <v>46098</v>
      </c>
      <c r="L87" t="s">
        <v>18</v>
      </c>
    </row>
    <row r="88" spans="1:12" x14ac:dyDescent="0.25">
      <c r="A88" t="s">
        <v>138</v>
      </c>
      <c r="B88" t="s">
        <v>27</v>
      </c>
      <c r="C88" t="s">
        <v>28</v>
      </c>
      <c r="D88" t="s">
        <v>15</v>
      </c>
      <c r="E88" t="s">
        <v>16</v>
      </c>
      <c r="F88" t="s">
        <v>17</v>
      </c>
      <c r="G88">
        <v>1</v>
      </c>
      <c r="H88">
        <v>80000</v>
      </c>
      <c r="I88">
        <v>0.05</v>
      </c>
      <c r="J88">
        <v>76000</v>
      </c>
      <c r="K88" s="1">
        <v>46101</v>
      </c>
      <c r="L88" t="s">
        <v>25</v>
      </c>
    </row>
    <row r="89" spans="1:12" x14ac:dyDescent="0.25">
      <c r="A89" t="s">
        <v>139</v>
      </c>
      <c r="B89" t="s">
        <v>31</v>
      </c>
      <c r="C89" t="s">
        <v>32</v>
      </c>
      <c r="D89" t="s">
        <v>33</v>
      </c>
      <c r="E89" t="s">
        <v>23</v>
      </c>
      <c r="F89" t="s">
        <v>24</v>
      </c>
      <c r="G89">
        <v>6</v>
      </c>
      <c r="H89">
        <v>2500</v>
      </c>
      <c r="I89">
        <v>0.1</v>
      </c>
      <c r="J89">
        <v>13500</v>
      </c>
      <c r="K89" s="1">
        <v>46104</v>
      </c>
      <c r="L89" t="s">
        <v>29</v>
      </c>
    </row>
    <row r="90" spans="1:12" x14ac:dyDescent="0.25">
      <c r="A90" t="s">
        <v>140</v>
      </c>
      <c r="B90" t="s">
        <v>36</v>
      </c>
      <c r="C90" t="s">
        <v>37</v>
      </c>
      <c r="D90" t="s">
        <v>22</v>
      </c>
      <c r="E90" t="s">
        <v>16</v>
      </c>
      <c r="F90" t="s">
        <v>17</v>
      </c>
      <c r="G90">
        <v>1</v>
      </c>
      <c r="H90">
        <v>80000</v>
      </c>
      <c r="I90">
        <v>0</v>
      </c>
      <c r="J90">
        <v>80000</v>
      </c>
      <c r="K90" s="1">
        <v>46107</v>
      </c>
      <c r="L90" t="s">
        <v>34</v>
      </c>
    </row>
    <row r="91" spans="1:12" x14ac:dyDescent="0.25">
      <c r="A91" t="s">
        <v>141</v>
      </c>
      <c r="B91" t="s">
        <v>40</v>
      </c>
      <c r="C91" t="s">
        <v>41</v>
      </c>
      <c r="D91" t="s">
        <v>15</v>
      </c>
      <c r="E91" t="s">
        <v>23</v>
      </c>
      <c r="F91" t="s">
        <v>24</v>
      </c>
      <c r="G91">
        <v>6</v>
      </c>
      <c r="H91">
        <v>2500</v>
      </c>
      <c r="I91">
        <v>0</v>
      </c>
      <c r="J91">
        <v>15000</v>
      </c>
      <c r="K91" s="1">
        <v>46110</v>
      </c>
      <c r="L91" t="s">
        <v>38</v>
      </c>
    </row>
    <row r="92" spans="1:12" x14ac:dyDescent="0.25">
      <c r="A92" t="s">
        <v>142</v>
      </c>
      <c r="B92" t="s">
        <v>43</v>
      </c>
      <c r="C92" t="s">
        <v>44</v>
      </c>
      <c r="D92" t="s">
        <v>33</v>
      </c>
      <c r="E92" t="s">
        <v>16</v>
      </c>
      <c r="F92" t="s">
        <v>17</v>
      </c>
      <c r="G92">
        <v>1</v>
      </c>
      <c r="H92">
        <v>80000</v>
      </c>
      <c r="I92">
        <v>0.05</v>
      </c>
      <c r="J92">
        <v>76000</v>
      </c>
      <c r="K92" s="1">
        <v>46113</v>
      </c>
      <c r="L92" t="s">
        <v>18</v>
      </c>
    </row>
    <row r="93" spans="1:12" x14ac:dyDescent="0.25">
      <c r="A93" t="s">
        <v>143</v>
      </c>
      <c r="B93" t="s">
        <v>46</v>
      </c>
      <c r="C93" t="s">
        <v>47</v>
      </c>
      <c r="D93" t="s">
        <v>22</v>
      </c>
      <c r="E93" t="s">
        <v>48</v>
      </c>
      <c r="F93" t="s">
        <v>24</v>
      </c>
      <c r="G93">
        <v>6</v>
      </c>
      <c r="H93">
        <v>6000</v>
      </c>
      <c r="I93">
        <v>0.1</v>
      </c>
      <c r="J93">
        <v>32400</v>
      </c>
      <c r="K93" s="1">
        <v>46116</v>
      </c>
      <c r="L93" t="s">
        <v>25</v>
      </c>
    </row>
    <row r="94" spans="1:12" x14ac:dyDescent="0.25">
      <c r="A94" t="s">
        <v>144</v>
      </c>
      <c r="B94" t="s">
        <v>50</v>
      </c>
      <c r="C94" t="s">
        <v>51</v>
      </c>
      <c r="D94" t="s">
        <v>15</v>
      </c>
      <c r="E94" t="s">
        <v>52</v>
      </c>
      <c r="F94" t="s">
        <v>17</v>
      </c>
      <c r="G94">
        <v>1</v>
      </c>
      <c r="H94">
        <v>30000</v>
      </c>
      <c r="I94">
        <v>0</v>
      </c>
      <c r="J94">
        <v>30000</v>
      </c>
      <c r="K94" s="1">
        <v>46119</v>
      </c>
      <c r="L94" t="s">
        <v>29</v>
      </c>
    </row>
    <row r="95" spans="1:12" x14ac:dyDescent="0.25">
      <c r="A95" t="s">
        <v>145</v>
      </c>
      <c r="B95" t="s">
        <v>54</v>
      </c>
      <c r="C95" t="s">
        <v>55</v>
      </c>
      <c r="D95" t="s">
        <v>33</v>
      </c>
      <c r="E95" t="s">
        <v>48</v>
      </c>
      <c r="F95" t="s">
        <v>24</v>
      </c>
      <c r="G95">
        <v>6</v>
      </c>
      <c r="H95">
        <v>6000</v>
      </c>
      <c r="I95">
        <v>0</v>
      </c>
      <c r="J95">
        <v>36000</v>
      </c>
      <c r="K95" s="1">
        <v>46122</v>
      </c>
      <c r="L95" t="s">
        <v>34</v>
      </c>
    </row>
    <row r="96" spans="1:12" x14ac:dyDescent="0.25">
      <c r="A96" t="s">
        <v>146</v>
      </c>
      <c r="B96" t="s">
        <v>57</v>
      </c>
      <c r="C96" t="s">
        <v>58</v>
      </c>
      <c r="D96" t="s">
        <v>22</v>
      </c>
      <c r="E96" t="s">
        <v>52</v>
      </c>
      <c r="F96" t="s">
        <v>17</v>
      </c>
      <c r="G96">
        <v>1</v>
      </c>
      <c r="H96">
        <v>30000</v>
      </c>
      <c r="I96">
        <v>0.05</v>
      </c>
      <c r="J96">
        <v>28500</v>
      </c>
      <c r="K96" s="1">
        <v>46125</v>
      </c>
      <c r="L96" t="s">
        <v>38</v>
      </c>
    </row>
    <row r="97" spans="1:12" x14ac:dyDescent="0.25">
      <c r="A97" t="s">
        <v>147</v>
      </c>
      <c r="B97" t="s">
        <v>60</v>
      </c>
      <c r="C97" t="s">
        <v>61</v>
      </c>
      <c r="D97" t="s">
        <v>15</v>
      </c>
      <c r="E97" t="s">
        <v>48</v>
      </c>
      <c r="F97" t="s">
        <v>24</v>
      </c>
      <c r="G97">
        <v>6</v>
      </c>
      <c r="H97">
        <v>6000</v>
      </c>
      <c r="I97">
        <v>0.1</v>
      </c>
      <c r="J97">
        <v>32400</v>
      </c>
      <c r="K97" s="1">
        <v>46128</v>
      </c>
      <c r="L97" t="s">
        <v>18</v>
      </c>
    </row>
    <row r="98" spans="1:12" x14ac:dyDescent="0.25">
      <c r="A98" t="s">
        <v>148</v>
      </c>
      <c r="B98" t="s">
        <v>13</v>
      </c>
      <c r="C98" t="s">
        <v>14</v>
      </c>
      <c r="D98" t="s">
        <v>15</v>
      </c>
      <c r="E98" t="s">
        <v>52</v>
      </c>
      <c r="F98" t="s">
        <v>17</v>
      </c>
      <c r="G98">
        <v>1</v>
      </c>
      <c r="H98">
        <v>30000</v>
      </c>
      <c r="I98">
        <v>0</v>
      </c>
      <c r="J98">
        <v>30000</v>
      </c>
      <c r="K98" s="1">
        <v>46131</v>
      </c>
      <c r="L98" t="s">
        <v>25</v>
      </c>
    </row>
    <row r="99" spans="1:12" x14ac:dyDescent="0.25">
      <c r="A99" t="s">
        <v>149</v>
      </c>
      <c r="B99" t="s">
        <v>20</v>
      </c>
      <c r="C99" t="s">
        <v>21</v>
      </c>
      <c r="D99" t="s">
        <v>22</v>
      </c>
      <c r="E99" t="s">
        <v>48</v>
      </c>
      <c r="F99" t="s">
        <v>24</v>
      </c>
      <c r="G99">
        <v>6</v>
      </c>
      <c r="H99">
        <v>6000</v>
      </c>
      <c r="I99">
        <v>0</v>
      </c>
      <c r="J99">
        <v>36000</v>
      </c>
      <c r="K99" s="1">
        <v>46134</v>
      </c>
      <c r="L99" t="s">
        <v>29</v>
      </c>
    </row>
    <row r="100" spans="1:12" x14ac:dyDescent="0.25">
      <c r="A100" t="s">
        <v>150</v>
      </c>
      <c r="B100" t="s">
        <v>27</v>
      </c>
      <c r="C100" t="s">
        <v>28</v>
      </c>
      <c r="D100" t="s">
        <v>15</v>
      </c>
      <c r="E100" t="s">
        <v>65</v>
      </c>
      <c r="F100" t="s">
        <v>24</v>
      </c>
      <c r="G100">
        <v>1</v>
      </c>
      <c r="H100">
        <v>4500</v>
      </c>
      <c r="I100">
        <v>0.05</v>
      </c>
      <c r="J100">
        <v>4275</v>
      </c>
      <c r="K100" s="1">
        <v>46137</v>
      </c>
      <c r="L100" t="s">
        <v>34</v>
      </c>
    </row>
    <row r="101" spans="1:12" x14ac:dyDescent="0.25">
      <c r="A101" t="s">
        <v>151</v>
      </c>
      <c r="B101" t="s">
        <v>31</v>
      </c>
      <c r="C101" t="s">
        <v>32</v>
      </c>
      <c r="D101" t="s">
        <v>33</v>
      </c>
      <c r="E101" t="s">
        <v>67</v>
      </c>
      <c r="F101" t="s">
        <v>17</v>
      </c>
      <c r="G101">
        <v>6</v>
      </c>
      <c r="H101">
        <v>25000</v>
      </c>
      <c r="I101">
        <v>0.1</v>
      </c>
      <c r="J101">
        <v>135000</v>
      </c>
      <c r="K101" s="1">
        <v>46140</v>
      </c>
      <c r="L101" t="s">
        <v>38</v>
      </c>
    </row>
    <row r="102" spans="1:12" x14ac:dyDescent="0.25">
      <c r="A102" t="s">
        <v>152</v>
      </c>
      <c r="B102" t="s">
        <v>36</v>
      </c>
      <c r="C102" t="s">
        <v>37</v>
      </c>
      <c r="D102" t="s">
        <v>22</v>
      </c>
      <c r="E102" t="s">
        <v>65</v>
      </c>
      <c r="F102" t="s">
        <v>24</v>
      </c>
      <c r="G102">
        <v>1</v>
      </c>
      <c r="H102">
        <v>4500</v>
      </c>
      <c r="I102">
        <v>0</v>
      </c>
      <c r="J102">
        <v>4500</v>
      </c>
      <c r="K102" s="1">
        <v>46143</v>
      </c>
      <c r="L102" t="s">
        <v>18</v>
      </c>
    </row>
    <row r="103" spans="1:12" x14ac:dyDescent="0.25">
      <c r="A103" t="s">
        <v>153</v>
      </c>
      <c r="B103" t="s">
        <v>40</v>
      </c>
      <c r="C103" t="s">
        <v>41</v>
      </c>
      <c r="D103" t="s">
        <v>15</v>
      </c>
      <c r="E103" t="s">
        <v>67</v>
      </c>
      <c r="F103" t="s">
        <v>17</v>
      </c>
      <c r="G103">
        <v>6</v>
      </c>
      <c r="H103">
        <v>25000</v>
      </c>
      <c r="I103">
        <v>0</v>
      </c>
      <c r="J103">
        <v>150000</v>
      </c>
      <c r="K103" s="1">
        <v>46146</v>
      </c>
      <c r="L103" t="s">
        <v>25</v>
      </c>
    </row>
    <row r="104" spans="1:12" x14ac:dyDescent="0.25">
      <c r="A104" t="s">
        <v>154</v>
      </c>
      <c r="B104" t="s">
        <v>43</v>
      </c>
      <c r="C104" t="s">
        <v>44</v>
      </c>
      <c r="D104" t="s">
        <v>33</v>
      </c>
      <c r="E104" t="s">
        <v>65</v>
      </c>
      <c r="F104" t="s">
        <v>24</v>
      </c>
      <c r="G104">
        <v>1</v>
      </c>
      <c r="H104">
        <v>4500</v>
      </c>
      <c r="I104">
        <v>0.05</v>
      </c>
      <c r="J104">
        <v>4275</v>
      </c>
      <c r="K104" s="1">
        <v>46149</v>
      </c>
      <c r="L104" t="s">
        <v>29</v>
      </c>
    </row>
    <row r="105" spans="1:12" x14ac:dyDescent="0.25">
      <c r="A105" t="s">
        <v>155</v>
      </c>
      <c r="B105" t="s">
        <v>46</v>
      </c>
      <c r="C105" t="s">
        <v>47</v>
      </c>
      <c r="D105" t="s">
        <v>22</v>
      </c>
      <c r="E105" t="s">
        <v>67</v>
      </c>
      <c r="F105" t="s">
        <v>17</v>
      </c>
      <c r="G105">
        <v>6</v>
      </c>
      <c r="H105">
        <v>25000</v>
      </c>
      <c r="I105">
        <v>0.1</v>
      </c>
      <c r="J105">
        <v>135000</v>
      </c>
      <c r="K105" s="1">
        <v>46152</v>
      </c>
      <c r="L105" t="s">
        <v>34</v>
      </c>
    </row>
    <row r="106" spans="1:12" x14ac:dyDescent="0.25">
      <c r="A106" t="s">
        <v>156</v>
      </c>
      <c r="B106" t="s">
        <v>50</v>
      </c>
      <c r="C106" t="s">
        <v>51</v>
      </c>
      <c r="D106" t="s">
        <v>15</v>
      </c>
      <c r="E106" t="s">
        <v>65</v>
      </c>
      <c r="F106" t="s">
        <v>24</v>
      </c>
      <c r="G106">
        <v>1</v>
      </c>
      <c r="H106">
        <v>4500</v>
      </c>
      <c r="I106">
        <v>0</v>
      </c>
      <c r="J106">
        <v>4500</v>
      </c>
      <c r="K106" s="1">
        <v>46155</v>
      </c>
      <c r="L106" t="s">
        <v>38</v>
      </c>
    </row>
    <row r="107" spans="1:12" x14ac:dyDescent="0.25">
      <c r="A107" t="s">
        <v>157</v>
      </c>
      <c r="B107" t="s">
        <v>54</v>
      </c>
      <c r="C107" t="s">
        <v>55</v>
      </c>
      <c r="D107" t="s">
        <v>33</v>
      </c>
      <c r="E107" t="s">
        <v>16</v>
      </c>
      <c r="F107" t="s">
        <v>17</v>
      </c>
      <c r="G107">
        <v>6</v>
      </c>
      <c r="H107">
        <v>80000</v>
      </c>
      <c r="I107">
        <v>0</v>
      </c>
      <c r="J107">
        <v>480000</v>
      </c>
      <c r="K107" s="1">
        <v>46158</v>
      </c>
      <c r="L107" t="s">
        <v>18</v>
      </c>
    </row>
    <row r="108" spans="1:12" x14ac:dyDescent="0.25">
      <c r="A108" t="s">
        <v>158</v>
      </c>
      <c r="B108" t="s">
        <v>57</v>
      </c>
      <c r="C108" t="s">
        <v>58</v>
      </c>
      <c r="D108" t="s">
        <v>22</v>
      </c>
      <c r="E108" t="s">
        <v>23</v>
      </c>
      <c r="F108" t="s">
        <v>24</v>
      </c>
      <c r="G108">
        <v>1</v>
      </c>
      <c r="H108">
        <v>2500</v>
      </c>
      <c r="I108">
        <v>0.05</v>
      </c>
      <c r="J108">
        <v>2375</v>
      </c>
      <c r="K108" s="1">
        <v>46161</v>
      </c>
      <c r="L108" t="s">
        <v>25</v>
      </c>
    </row>
    <row r="109" spans="1:12" x14ac:dyDescent="0.25">
      <c r="A109" t="s">
        <v>159</v>
      </c>
      <c r="B109" t="s">
        <v>60</v>
      </c>
      <c r="C109" t="s">
        <v>61</v>
      </c>
      <c r="D109" t="s">
        <v>15</v>
      </c>
      <c r="E109" t="s">
        <v>16</v>
      </c>
      <c r="F109" t="s">
        <v>17</v>
      </c>
      <c r="G109">
        <v>6</v>
      </c>
      <c r="H109">
        <v>80000</v>
      </c>
      <c r="I109">
        <v>0.1</v>
      </c>
      <c r="J109">
        <v>432000</v>
      </c>
      <c r="K109" s="1">
        <v>46164</v>
      </c>
      <c r="L109" t="s">
        <v>29</v>
      </c>
    </row>
    <row r="110" spans="1:12" x14ac:dyDescent="0.25">
      <c r="A110" t="s">
        <v>160</v>
      </c>
      <c r="B110" t="s">
        <v>13</v>
      </c>
      <c r="C110" t="s">
        <v>14</v>
      </c>
      <c r="D110" t="s">
        <v>15</v>
      </c>
      <c r="E110" t="s">
        <v>23</v>
      </c>
      <c r="F110" t="s">
        <v>24</v>
      </c>
      <c r="G110">
        <v>1</v>
      </c>
      <c r="H110">
        <v>2500</v>
      </c>
      <c r="I110">
        <v>0</v>
      </c>
      <c r="J110">
        <v>2500</v>
      </c>
      <c r="K110" s="1">
        <v>46167</v>
      </c>
      <c r="L110" t="s">
        <v>34</v>
      </c>
    </row>
    <row r="111" spans="1:12" x14ac:dyDescent="0.25">
      <c r="A111" t="s">
        <v>161</v>
      </c>
      <c r="B111" t="s">
        <v>20</v>
      </c>
      <c r="C111" t="s">
        <v>21</v>
      </c>
      <c r="D111" t="s">
        <v>22</v>
      </c>
      <c r="E111" t="s">
        <v>16</v>
      </c>
      <c r="F111" t="s">
        <v>17</v>
      </c>
      <c r="G111">
        <v>6</v>
      </c>
      <c r="H111">
        <v>80000</v>
      </c>
      <c r="I111">
        <v>0</v>
      </c>
      <c r="J111">
        <v>480000</v>
      </c>
      <c r="K111" s="1">
        <v>46170</v>
      </c>
      <c r="L111" t="s">
        <v>38</v>
      </c>
    </row>
    <row r="112" spans="1:12" x14ac:dyDescent="0.25">
      <c r="A112" t="s">
        <v>162</v>
      </c>
      <c r="B112" t="s">
        <v>27</v>
      </c>
      <c r="C112" t="s">
        <v>28</v>
      </c>
      <c r="D112" t="s">
        <v>15</v>
      </c>
      <c r="E112" t="s">
        <v>23</v>
      </c>
      <c r="F112" t="s">
        <v>24</v>
      </c>
      <c r="G112">
        <v>1</v>
      </c>
      <c r="H112">
        <v>2500</v>
      </c>
      <c r="I112">
        <v>0.05</v>
      </c>
      <c r="J112">
        <v>2375</v>
      </c>
      <c r="K112" s="1">
        <v>46173</v>
      </c>
      <c r="L112" t="s">
        <v>18</v>
      </c>
    </row>
    <row r="113" spans="1:12" x14ac:dyDescent="0.25">
      <c r="A113" t="s">
        <v>163</v>
      </c>
      <c r="B113" t="s">
        <v>31</v>
      </c>
      <c r="C113" t="s">
        <v>32</v>
      </c>
      <c r="D113" t="s">
        <v>33</v>
      </c>
      <c r="E113" t="s">
        <v>16</v>
      </c>
      <c r="F113" t="s">
        <v>17</v>
      </c>
      <c r="G113">
        <v>6</v>
      </c>
      <c r="H113">
        <v>80000</v>
      </c>
      <c r="I113">
        <v>0.1</v>
      </c>
      <c r="J113">
        <v>432000</v>
      </c>
      <c r="K113" s="1">
        <v>46176</v>
      </c>
      <c r="L113" t="s">
        <v>25</v>
      </c>
    </row>
    <row r="114" spans="1:12" x14ac:dyDescent="0.25">
      <c r="A114" t="s">
        <v>164</v>
      </c>
      <c r="B114" t="s">
        <v>36</v>
      </c>
      <c r="C114" t="s">
        <v>37</v>
      </c>
      <c r="D114" t="s">
        <v>22</v>
      </c>
      <c r="E114" t="s">
        <v>48</v>
      </c>
      <c r="F114" t="s">
        <v>24</v>
      </c>
      <c r="G114">
        <v>1</v>
      </c>
      <c r="H114">
        <v>6000</v>
      </c>
      <c r="I114">
        <v>0</v>
      </c>
      <c r="J114">
        <v>6000</v>
      </c>
      <c r="K114" s="1">
        <v>46179</v>
      </c>
      <c r="L114" t="s">
        <v>29</v>
      </c>
    </row>
    <row r="115" spans="1:12" x14ac:dyDescent="0.25">
      <c r="A115" t="s">
        <v>165</v>
      </c>
      <c r="B115" t="s">
        <v>40</v>
      </c>
      <c r="C115" t="s">
        <v>41</v>
      </c>
      <c r="D115" t="s">
        <v>15</v>
      </c>
      <c r="E115" t="s">
        <v>52</v>
      </c>
      <c r="F115" t="s">
        <v>17</v>
      </c>
      <c r="G115">
        <v>6</v>
      </c>
      <c r="H115">
        <v>30000</v>
      </c>
      <c r="I115">
        <v>0</v>
      </c>
      <c r="J115">
        <v>180000</v>
      </c>
      <c r="K115" s="1">
        <v>46182</v>
      </c>
      <c r="L115" t="s">
        <v>34</v>
      </c>
    </row>
    <row r="116" spans="1:12" x14ac:dyDescent="0.25">
      <c r="A116" t="s">
        <v>166</v>
      </c>
      <c r="B116" t="s">
        <v>43</v>
      </c>
      <c r="C116" t="s">
        <v>44</v>
      </c>
      <c r="D116" t="s">
        <v>33</v>
      </c>
      <c r="E116" t="s">
        <v>48</v>
      </c>
      <c r="F116" t="s">
        <v>24</v>
      </c>
      <c r="G116">
        <v>1</v>
      </c>
      <c r="H116">
        <v>6000</v>
      </c>
      <c r="I116">
        <v>0.05</v>
      </c>
      <c r="J116">
        <v>5700</v>
      </c>
      <c r="K116" s="1">
        <v>46185</v>
      </c>
      <c r="L116" t="s">
        <v>38</v>
      </c>
    </row>
    <row r="117" spans="1:12" x14ac:dyDescent="0.25">
      <c r="A117" t="s">
        <v>167</v>
      </c>
      <c r="B117" t="s">
        <v>46</v>
      </c>
      <c r="C117" t="s">
        <v>47</v>
      </c>
      <c r="D117" t="s">
        <v>22</v>
      </c>
      <c r="E117" t="s">
        <v>52</v>
      </c>
      <c r="F117" t="s">
        <v>17</v>
      </c>
      <c r="G117">
        <v>6</v>
      </c>
      <c r="H117">
        <v>30000</v>
      </c>
      <c r="I117">
        <v>0.1</v>
      </c>
      <c r="J117">
        <v>162000</v>
      </c>
      <c r="K117" s="1">
        <v>46188</v>
      </c>
      <c r="L117" t="s">
        <v>18</v>
      </c>
    </row>
    <row r="118" spans="1:12" x14ac:dyDescent="0.25">
      <c r="A118" t="s">
        <v>168</v>
      </c>
      <c r="B118" t="s">
        <v>50</v>
      </c>
      <c r="C118" t="s">
        <v>51</v>
      </c>
      <c r="D118" t="s">
        <v>15</v>
      </c>
      <c r="E118" t="s">
        <v>48</v>
      </c>
      <c r="F118" t="s">
        <v>24</v>
      </c>
      <c r="G118">
        <v>1</v>
      </c>
      <c r="H118">
        <v>6000</v>
      </c>
      <c r="I118">
        <v>0</v>
      </c>
      <c r="J118">
        <v>6000</v>
      </c>
      <c r="K118" s="1">
        <v>46191</v>
      </c>
      <c r="L118" t="s">
        <v>25</v>
      </c>
    </row>
    <row r="119" spans="1:12" x14ac:dyDescent="0.25">
      <c r="A119" t="s">
        <v>169</v>
      </c>
      <c r="B119" t="s">
        <v>54</v>
      </c>
      <c r="C119" t="s">
        <v>55</v>
      </c>
      <c r="D119" t="s">
        <v>33</v>
      </c>
      <c r="E119" t="s">
        <v>52</v>
      </c>
      <c r="F119" t="s">
        <v>17</v>
      </c>
      <c r="G119">
        <v>6</v>
      </c>
      <c r="H119">
        <v>30000</v>
      </c>
      <c r="I119">
        <v>0</v>
      </c>
      <c r="J119">
        <v>180000</v>
      </c>
      <c r="K119" s="1">
        <v>46194</v>
      </c>
      <c r="L119" t="s">
        <v>29</v>
      </c>
    </row>
    <row r="120" spans="1:12" x14ac:dyDescent="0.25">
      <c r="A120" t="s">
        <v>170</v>
      </c>
      <c r="B120" t="s">
        <v>57</v>
      </c>
      <c r="C120" t="s">
        <v>58</v>
      </c>
      <c r="D120" t="s">
        <v>22</v>
      </c>
      <c r="E120" t="s">
        <v>48</v>
      </c>
      <c r="F120" t="s">
        <v>24</v>
      </c>
      <c r="G120">
        <v>1</v>
      </c>
      <c r="H120">
        <v>6000</v>
      </c>
      <c r="I120">
        <v>0.05</v>
      </c>
      <c r="J120">
        <v>5700</v>
      </c>
      <c r="K120" s="1">
        <v>46197</v>
      </c>
      <c r="L120" t="s">
        <v>34</v>
      </c>
    </row>
    <row r="121" spans="1:12" x14ac:dyDescent="0.25">
      <c r="A121" t="s">
        <v>171</v>
      </c>
      <c r="B121" t="s">
        <v>60</v>
      </c>
      <c r="C121" t="s">
        <v>61</v>
      </c>
      <c r="D121" t="s">
        <v>15</v>
      </c>
      <c r="E121" t="s">
        <v>65</v>
      </c>
      <c r="F121" t="s">
        <v>24</v>
      </c>
      <c r="G121">
        <v>6</v>
      </c>
      <c r="H121">
        <v>4500</v>
      </c>
      <c r="I121">
        <v>0.1</v>
      </c>
      <c r="J121">
        <v>24300</v>
      </c>
      <c r="K121" s="1">
        <v>46200</v>
      </c>
      <c r="L121" t="s">
        <v>38</v>
      </c>
    </row>
  </sheetData>
  <conditionalFormatting sqref="A2:L121">
    <cfRule type="colorScale" priority="1">
      <colorScale>
        <cfvo type="min"/>
        <cfvo type="percentile" val="50"/>
        <cfvo type="max"/>
        <color rgb="FFF8696B"/>
        <color theme="3" tint="0.79998168889431442"/>
        <color theme="3" tint="-0.249977111117893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14"/>
  <sheetViews>
    <sheetView showGridLines="0" workbookViewId="0">
      <selection activeCell="N6" sqref="N6"/>
    </sheetView>
  </sheetViews>
  <sheetFormatPr defaultRowHeight="15" x14ac:dyDescent="0.25"/>
  <cols>
    <col min="13" max="13" width="7.85546875" customWidth="1"/>
    <col min="14" max="14" width="12.5703125" customWidth="1"/>
    <col min="15" max="15" width="13.42578125" customWidth="1"/>
  </cols>
  <sheetData>
    <row r="4" spans="2:15" ht="20.25" x14ac:dyDescent="0.3">
      <c r="B4" s="9" t="s">
        <v>242</v>
      </c>
      <c r="C4" s="10"/>
      <c r="D4" s="10"/>
      <c r="E4" s="10"/>
      <c r="H4" s="9" t="s">
        <v>243</v>
      </c>
      <c r="I4" s="12"/>
      <c r="J4" s="12"/>
    </row>
    <row r="6" spans="2:15" ht="15.75" x14ac:dyDescent="0.25">
      <c r="C6" s="11">
        <f>SUM(Table!J2:'Table'!J121)</f>
        <v>10554875</v>
      </c>
      <c r="D6" s="11"/>
      <c r="I6" s="8">
        <f>COUNTA(Table!A2:'Table'!A121)</f>
        <v>120</v>
      </c>
    </row>
    <row r="12" spans="2:15" ht="20.25" x14ac:dyDescent="0.3">
      <c r="G12" s="13" t="s">
        <v>244</v>
      </c>
      <c r="H12" s="13"/>
      <c r="I12" s="13"/>
      <c r="J12" s="13"/>
      <c r="N12" s="9" t="s">
        <v>245</v>
      </c>
      <c r="O12" s="14"/>
    </row>
    <row r="14" spans="2:15" ht="15.75" x14ac:dyDescent="0.25">
      <c r="H14" s="15">
        <f>SUM(SalesData[Units])</f>
        <v>420</v>
      </c>
      <c r="I14" s="15"/>
      <c r="N14" s="16">
        <f>AVERAGE(SalesData[Total Sales])</f>
        <v>87957.291666666672</v>
      </c>
      <c r="O14" s="16"/>
    </row>
  </sheetData>
  <mergeCells count="7">
    <mergeCell ref="G12:J12"/>
    <mergeCell ref="H14:I14"/>
    <mergeCell ref="N12:O12"/>
    <mergeCell ref="N14:O14"/>
    <mergeCell ref="B4:E4"/>
    <mergeCell ref="C6:D6"/>
    <mergeCell ref="H4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SalesBYRegion</vt:lpstr>
      <vt:lpstr>SalesByprods</vt:lpstr>
      <vt:lpstr>SalesByMonORdates</vt:lpstr>
      <vt:lpstr>unitsold</vt:lpstr>
      <vt:lpstr>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usman yousuf1</dc:creator>
  <cp:keywords/>
  <dc:description/>
  <cp:lastModifiedBy>abc</cp:lastModifiedBy>
  <cp:revision/>
  <dcterms:created xsi:type="dcterms:W3CDTF">2026-09-24T18:49:28Z</dcterms:created>
  <dcterms:modified xsi:type="dcterms:W3CDTF">2026-09-24T20:35:05Z</dcterms:modified>
  <cp:category/>
  <cp:contentStatus/>
</cp:coreProperties>
</file>
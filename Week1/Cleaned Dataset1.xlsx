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8_{E1D7331C-2512-410F-BC0E-6DA146E2C523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2" i="1"/>
  <c r="I2" i="1" a="1"/>
  <c r="I2" i="1"/>
  <c r="J2" i="1" a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<sst xmlns="http://schemas.openxmlformats.org/spreadsheetml/2006/main" count="305" uniqueCount="152">
  <si>
    <t>Order ID</t>
  </si>
  <si>
    <t>Customer Name</t>
  </si>
  <si>
    <t>Region</t>
  </si>
  <si>
    <t>Product</t>
  </si>
  <si>
    <t>Order Date</t>
  </si>
  <si>
    <t>Units</t>
  </si>
  <si>
    <t>Unit Price</t>
  </si>
  <si>
    <t>Clean Names</t>
  </si>
  <si>
    <t>Clean Regions</t>
  </si>
  <si>
    <t>Clean U_P</t>
  </si>
  <si>
    <t>Clean Dates</t>
  </si>
  <si>
    <t>ORD001</t>
  </si>
  <si>
    <t xml:space="preserve"> Ali Khan</t>
  </si>
  <si>
    <t>Karachi</t>
  </si>
  <si>
    <t>Laptop</t>
  </si>
  <si>
    <t>01/09/2026</t>
  </si>
  <si>
    <t>80000</t>
  </si>
  <si>
    <t>ORD031</t>
  </si>
  <si>
    <t>Zain Malik</t>
  </si>
  <si>
    <t>Lahore</t>
  </si>
  <si>
    <t>Monitor</t>
  </si>
  <si>
    <t>01-Oct-2026</t>
  </si>
  <si>
    <t>30,000</t>
  </si>
  <si>
    <t>ORD032</t>
  </si>
  <si>
    <t xml:space="preserve">Ayesha Noor  </t>
  </si>
  <si>
    <t>karachi</t>
  </si>
  <si>
    <t>Mouse</t>
  </si>
  <si>
    <t>02/10/2026</t>
  </si>
  <si>
    <t>2500</t>
  </si>
  <si>
    <t>ORD002</t>
  </si>
  <si>
    <t xml:space="preserve">Sara Ahmed </t>
  </si>
  <si>
    <t>lahore</t>
  </si>
  <si>
    <t>02-Sep-2026</t>
  </si>
  <si>
    <t>ORD003</t>
  </si>
  <si>
    <t>AHMED RAZA</t>
  </si>
  <si>
    <t>Keyboard</t>
  </si>
  <si>
    <t>03/09/26</t>
  </si>
  <si>
    <t>4,500</t>
  </si>
  <si>
    <t>ORD033</t>
  </si>
  <si>
    <t>Hamza Ali</t>
  </si>
  <si>
    <t>ISLAMABAD</t>
  </si>
  <si>
    <t>03-Oct-2026</t>
  </si>
  <si>
    <t>4500</t>
  </si>
  <si>
    <t>ORD034</t>
  </si>
  <si>
    <t>Ali Khan</t>
  </si>
  <si>
    <t>04/10/2026</t>
  </si>
  <si>
    <t>ORD005</t>
  </si>
  <si>
    <t>05/09/2026</t>
  </si>
  <si>
    <t>ORD035</t>
  </si>
  <si>
    <t>Sara  Ahmed</t>
  </si>
  <si>
    <t>05-Oct-2026</t>
  </si>
  <si>
    <t>2,500</t>
  </si>
  <si>
    <t>ORD036</t>
  </si>
  <si>
    <t>Ahmed Raza</t>
  </si>
  <si>
    <t>06/10/2026</t>
  </si>
  <si>
    <t>30000</t>
  </si>
  <si>
    <t>ORD006</t>
  </si>
  <si>
    <t>06-Sep-2026</t>
  </si>
  <si>
    <t>80,000</t>
  </si>
  <si>
    <t>ORD007</t>
  </si>
  <si>
    <t>Ayesha Noor</t>
  </si>
  <si>
    <t>07/09/2026</t>
  </si>
  <si>
    <t>ORD037</t>
  </si>
  <si>
    <t>Hira Shah</t>
  </si>
  <si>
    <t>Islamabad</t>
  </si>
  <si>
    <t>07-Oct-2026</t>
  </si>
  <si>
    <t>ORD008</t>
  </si>
  <si>
    <t>Sara Ahmed</t>
  </si>
  <si>
    <t>08/09/2026</t>
  </si>
  <si>
    <t>ORD038</t>
  </si>
  <si>
    <t>08/10/2026</t>
  </si>
  <si>
    <t>ORD039</t>
  </si>
  <si>
    <t>09-Oct-2026</t>
  </si>
  <si>
    <t>ORD009</t>
  </si>
  <si>
    <t>09-Sep-2026</t>
  </si>
  <si>
    <t>ORD010</t>
  </si>
  <si>
    <t xml:space="preserve"> Ahmed Raza </t>
  </si>
  <si>
    <t>10/09/2026</t>
  </si>
  <si>
    <t>ORD040</t>
  </si>
  <si>
    <t>10/10/2026</t>
  </si>
  <si>
    <t>ORD041</t>
  </si>
  <si>
    <t>Ali-Khan</t>
  </si>
  <si>
    <t>11-Oct-2026</t>
  </si>
  <si>
    <t>ORD011</t>
  </si>
  <si>
    <t>11-Sep-2026</t>
  </si>
  <si>
    <t>ORD012</t>
  </si>
  <si>
    <t>12/09/2026</t>
  </si>
  <si>
    <t>ORD042</t>
  </si>
  <si>
    <t>12/10/2026</t>
  </si>
  <si>
    <t>ORD043</t>
  </si>
  <si>
    <t>13-Oct-2026</t>
  </si>
  <si>
    <t>ORD013</t>
  </si>
  <si>
    <t>13-Sep-2026</t>
  </si>
  <si>
    <t>ORD014</t>
  </si>
  <si>
    <t>14/09/2026</t>
  </si>
  <si>
    <t>ORD044</t>
  </si>
  <si>
    <t>14/10/2026</t>
  </si>
  <si>
    <t>ORD045</t>
  </si>
  <si>
    <t xml:space="preserve">lahore </t>
  </si>
  <si>
    <t>15-Oct-2026</t>
  </si>
  <si>
    <t>ORD015</t>
  </si>
  <si>
    <t>15-Sep-2026</t>
  </si>
  <si>
    <t>ORD016</t>
  </si>
  <si>
    <t>16/09/2026</t>
  </si>
  <si>
    <t>ORD046</t>
  </si>
  <si>
    <t>16/10/2026</t>
  </si>
  <si>
    <t>ORD047</t>
  </si>
  <si>
    <t>17-Oct-2026</t>
  </si>
  <si>
    <t>ORD017</t>
  </si>
  <si>
    <t>17-Sep-2026</t>
  </si>
  <si>
    <t>ORD018</t>
  </si>
  <si>
    <t>18/09/2026</t>
  </si>
  <si>
    <t>ORD048</t>
  </si>
  <si>
    <t xml:space="preserve">Karachi  </t>
  </si>
  <si>
    <t>18/10/2026</t>
  </si>
  <si>
    <t>ORD049</t>
  </si>
  <si>
    <t>19-Oct-2026</t>
  </si>
  <si>
    <t>ORD019</t>
  </si>
  <si>
    <t>19-Sep-2026</t>
  </si>
  <si>
    <t>ORD020</t>
  </si>
  <si>
    <t>Ali  Khan</t>
  </si>
  <si>
    <t>20/09/2026</t>
  </si>
  <si>
    <t>ORD021</t>
  </si>
  <si>
    <t>sara ahmed</t>
  </si>
  <si>
    <t>LAHORE</t>
  </si>
  <si>
    <t>21/09/2026</t>
  </si>
  <si>
    <t>ORD022</t>
  </si>
  <si>
    <t>Ahmed Raza###</t>
  </si>
  <si>
    <t>22-Sep-2026</t>
  </si>
  <si>
    <t>ORD023</t>
  </si>
  <si>
    <t>islamabad</t>
  </si>
  <si>
    <t>23/09/2026</t>
  </si>
  <si>
    <t>ORD024</t>
  </si>
  <si>
    <t>Zain  Malik</t>
  </si>
  <si>
    <t>24-Sep-2026</t>
  </si>
  <si>
    <t>ORD025</t>
  </si>
  <si>
    <t>KARACHI</t>
  </si>
  <si>
    <t>25/09/2026</t>
  </si>
  <si>
    <t>ORD026</t>
  </si>
  <si>
    <t>26/09/2026</t>
  </si>
  <si>
    <t>ORD027</t>
  </si>
  <si>
    <t xml:space="preserve"> Ali Khan </t>
  </si>
  <si>
    <t>27-Sep-2026</t>
  </si>
  <si>
    <t>ORD028</t>
  </si>
  <si>
    <t>28/09/2026</t>
  </si>
  <si>
    <t>ORD029</t>
  </si>
  <si>
    <t>29-Sep-2026</t>
  </si>
  <si>
    <t>ORD030</t>
  </si>
  <si>
    <t>30/09/2026</t>
  </si>
  <si>
    <t>ORD004</t>
  </si>
  <si>
    <t xml:space="preserve"> Hira Shah </t>
  </si>
  <si>
    <t>September 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</si>
</sst>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BCFAB-D403-4115-9E7E-4BC2AA74D5E0}" name="Table1" displayName="Table1" ref="A1:G50" totalsRowShown="0" headerRowDxfId="4" headerRowBorderDxfId="2" tableBorderDxfId="3">
  <autoFilter ref="A1:G50" xr:uid="{A29BCFAB-D403-4115-9E7E-4BC2AA74D5E0}"/>
  <sortState xmlns:xlrd2="http://schemas.microsoft.com/office/spreadsheetml/2017/richdata2" ref="A2:G50">
    <sortCondition ref="E1:E50"/>
  </sortState>
  <tableColumns count="7">
    <tableColumn id="1" xr3:uid="{D87D75C4-0B1F-4668-A7C5-73F0E3908F58}" name="Order ID"/>
    <tableColumn id="2" xr3:uid="{C06ABD41-6690-4A9F-B6D9-9881C23FBAB4}" name="Customer Name"/>
    <tableColumn id="3" xr3:uid="{5DC63F8E-B57E-4518-BD93-CBDB0253221E}" name="Region"/>
    <tableColumn id="4" xr3:uid="{BD3C8A9A-498D-4B79-A952-6A616F89D057}" name="Product"/>
    <tableColumn id="5" xr3:uid="{383B5E04-B20D-4143-8B51-BA8DCC63CFAC}" name="Order Date" dataDxfId="1"/>
    <tableColumn id="6" xr3:uid="{99299F96-593D-4DCC-A08E-64A87234E666}" name="Units"/>
    <tableColumn id="7" xr3:uid="{F7E4467D-87B1-4B1D-861A-290B61369CA8}" name="Unit 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H1" sqref="H1:K50"/>
    </sheetView>
  </sheetViews>
  <sheetFormatPr defaultRowHeight="15"/>
  <cols>
    <col min="1" max="1" width="14.42578125" customWidth="1"/>
    <col min="2" max="2" width="19.28515625" customWidth="1"/>
    <col min="3" max="3" width="11.5703125" bestFit="1" customWidth="1"/>
    <col min="4" max="4" width="10.42578125" bestFit="1" customWidth="1"/>
    <col min="5" max="5" width="18" style="6" bestFit="1" customWidth="1"/>
    <col min="6" max="6" width="11.140625" customWidth="1"/>
    <col min="7" max="7" width="14.42578125" style="3" customWidth="1"/>
    <col min="8" max="8" width="15.7109375" customWidth="1"/>
    <col min="9" max="9" width="14" customWidth="1"/>
    <col min="10" max="10" width="10" customWidth="1"/>
    <col min="11" max="11" width="10.85546875" style="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4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4" t="s">
        <v>15</v>
      </c>
      <c r="F2">
        <v>2</v>
      </c>
      <c r="G2" s="3" t="s">
        <v>16</v>
      </c>
      <c r="H2" t="str">
        <f>SUBSTITUTE(SUBSTITUTE(PROPER(TRIM(CLEAN(B2))), "#", ""), "-", " ")</f>
        <v>Ali Khan</v>
      </c>
      <c r="I2" t="str" cm="1">
        <f t="array" ref="I2:I50">TRIM(PROPER(C2:C50))</f>
        <v>Karachi</v>
      </c>
      <c r="J2" t="str" cm="1">
        <f t="array" ref="J2:J50">SUBSTITUTE(G2:G50,",","")</f>
        <v>80000</v>
      </c>
      <c r="K2" s="4">
        <f>IFERROR(DATEVALUE(E2), IF(ISNUMBER(E2), E2, DATE(RIGHT(E2,4), MID(E2,4,2), LEFT(E2,2))))</f>
        <v>46031</v>
      </c>
    </row>
    <row r="3" spans="1:11">
      <c r="A3" t="s">
        <v>17</v>
      </c>
      <c r="B3" t="s">
        <v>18</v>
      </c>
      <c r="C3" t="s">
        <v>19</v>
      </c>
      <c r="D3" t="s">
        <v>20</v>
      </c>
      <c r="E3" s="4" t="s">
        <v>21</v>
      </c>
      <c r="F3">
        <v>3</v>
      </c>
      <c r="G3" s="3" t="s">
        <v>22</v>
      </c>
      <c r="H3" t="str">
        <f t="shared" ref="H3:H50" si="0">SUBSTITUTE(SUBSTITUTE(PROPER(TRIM(CLEAN(B3))), "#", ""), "-", " ")</f>
        <v>Zain Malik</v>
      </c>
      <c r="I3" t="str">
        <v>Lahore</v>
      </c>
      <c r="J3" t="str">
        <v>30000</v>
      </c>
      <c r="K3" s="4">
        <f t="shared" ref="K3:K50" si="1">IFERROR(DATEVALUE(E3), IF(ISNUMBER(E3), E3, DATE(RIGHT(E3,4), MID(E3,4,2), LEFT(E3,2))))</f>
        <v>46296</v>
      </c>
    </row>
    <row r="4" spans="1:11">
      <c r="A4" t="s">
        <v>23</v>
      </c>
      <c r="B4" t="s">
        <v>24</v>
      </c>
      <c r="C4" t="s">
        <v>25</v>
      </c>
      <c r="D4" t="s">
        <v>26</v>
      </c>
      <c r="E4" s="4" t="s">
        <v>27</v>
      </c>
      <c r="F4">
        <v>8</v>
      </c>
      <c r="G4" s="3" t="s">
        <v>28</v>
      </c>
      <c r="H4" t="str">
        <f t="shared" si="0"/>
        <v>Ayesha Noor</v>
      </c>
      <c r="I4" t="str">
        <v>Karachi</v>
      </c>
      <c r="J4" t="str">
        <v>2500</v>
      </c>
      <c r="K4" s="4">
        <f t="shared" si="1"/>
        <v>46063</v>
      </c>
    </row>
    <row r="5" spans="1:11">
      <c r="A5" t="s">
        <v>29</v>
      </c>
      <c r="B5" t="s">
        <v>30</v>
      </c>
      <c r="C5" t="s">
        <v>31</v>
      </c>
      <c r="D5" t="s">
        <v>26</v>
      </c>
      <c r="E5" s="4" t="s">
        <v>32</v>
      </c>
      <c r="F5">
        <v>8</v>
      </c>
      <c r="G5" s="3" t="s">
        <v>28</v>
      </c>
      <c r="H5" t="str">
        <f t="shared" si="0"/>
        <v>Sara Ahmed</v>
      </c>
      <c r="I5" t="str">
        <v>Lahore</v>
      </c>
      <c r="J5" t="str">
        <v>2500</v>
      </c>
      <c r="K5" s="4">
        <f t="shared" si="1"/>
        <v>46267</v>
      </c>
    </row>
    <row r="6" spans="1:11">
      <c r="A6" t="s">
        <v>33</v>
      </c>
      <c r="B6" t="s">
        <v>34</v>
      </c>
      <c r="C6" t="s">
        <v>13</v>
      </c>
      <c r="D6" t="s">
        <v>35</v>
      </c>
      <c r="E6" s="4" t="s">
        <v>36</v>
      </c>
      <c r="F6">
        <v>5</v>
      </c>
      <c r="G6" s="3" t="s">
        <v>37</v>
      </c>
      <c r="H6" t="str">
        <f t="shared" si="0"/>
        <v>Ahmed Raza</v>
      </c>
      <c r="I6" t="str">
        <v>Karachi</v>
      </c>
      <c r="J6" t="str">
        <v>4500</v>
      </c>
      <c r="K6" s="4">
        <f t="shared" si="1"/>
        <v>46090</v>
      </c>
    </row>
    <row r="7" spans="1:11">
      <c r="A7" t="s">
        <v>38</v>
      </c>
      <c r="B7" t="s">
        <v>39</v>
      </c>
      <c r="C7" t="s">
        <v>40</v>
      </c>
      <c r="D7" t="s">
        <v>35</v>
      </c>
      <c r="E7" s="4" t="s">
        <v>41</v>
      </c>
      <c r="F7">
        <v>4</v>
      </c>
      <c r="G7" s="3" t="s">
        <v>42</v>
      </c>
      <c r="H7" t="str">
        <f t="shared" si="0"/>
        <v>Hamza Ali</v>
      </c>
      <c r="I7" t="str">
        <v>Islamabad</v>
      </c>
      <c r="J7" t="str">
        <v>4500</v>
      </c>
      <c r="K7" s="4">
        <f t="shared" si="1"/>
        <v>46298</v>
      </c>
    </row>
    <row r="8" spans="1:11">
      <c r="A8" t="s">
        <v>43</v>
      </c>
      <c r="B8" t="s">
        <v>44</v>
      </c>
      <c r="C8" t="s">
        <v>13</v>
      </c>
      <c r="D8" t="s">
        <v>14</v>
      </c>
      <c r="E8" s="4" t="s">
        <v>45</v>
      </c>
      <c r="F8">
        <v>1</v>
      </c>
      <c r="G8" s="3" t="s">
        <v>16</v>
      </c>
      <c r="H8" t="str">
        <f t="shared" si="0"/>
        <v>Ali Khan</v>
      </c>
      <c r="I8" t="str">
        <v>Karachi</v>
      </c>
      <c r="J8" t="str">
        <v>80000</v>
      </c>
      <c r="K8" s="4">
        <f t="shared" si="1"/>
        <v>46122</v>
      </c>
    </row>
    <row r="9" spans="1:11">
      <c r="A9" t="s">
        <v>46</v>
      </c>
      <c r="B9" t="s">
        <v>44</v>
      </c>
      <c r="C9" t="s">
        <v>13</v>
      </c>
      <c r="D9" t="s">
        <v>26</v>
      </c>
      <c r="E9" s="4" t="s">
        <v>47</v>
      </c>
      <c r="F9">
        <v>6</v>
      </c>
      <c r="G9" s="3" t="s">
        <v>28</v>
      </c>
      <c r="H9" t="str">
        <f t="shared" si="0"/>
        <v>Ali Khan</v>
      </c>
      <c r="I9" t="str">
        <v>Karachi</v>
      </c>
      <c r="J9" t="str">
        <v>2500</v>
      </c>
      <c r="K9" s="4">
        <f t="shared" si="1"/>
        <v>46151</v>
      </c>
    </row>
    <row r="10" spans="1:11">
      <c r="A10" t="s">
        <v>48</v>
      </c>
      <c r="B10" t="s">
        <v>49</v>
      </c>
      <c r="C10" t="s">
        <v>19</v>
      </c>
      <c r="D10" t="s">
        <v>26</v>
      </c>
      <c r="E10" s="4" t="s">
        <v>50</v>
      </c>
      <c r="F10">
        <v>10</v>
      </c>
      <c r="G10" s="3" t="s">
        <v>51</v>
      </c>
      <c r="H10" t="str">
        <f t="shared" si="0"/>
        <v>Sara Ahmed</v>
      </c>
      <c r="I10" t="str">
        <v>Lahore</v>
      </c>
      <c r="J10" t="str">
        <v>2500</v>
      </c>
      <c r="K10" s="4">
        <f t="shared" si="1"/>
        <v>46300</v>
      </c>
    </row>
    <row r="11" spans="1:11">
      <c r="A11" t="s">
        <v>52</v>
      </c>
      <c r="B11" t="s">
        <v>53</v>
      </c>
      <c r="C11" t="s">
        <v>13</v>
      </c>
      <c r="D11" t="s">
        <v>20</v>
      </c>
      <c r="E11" s="4" t="s">
        <v>54</v>
      </c>
      <c r="F11">
        <v>2</v>
      </c>
      <c r="G11" s="3" t="s">
        <v>55</v>
      </c>
      <c r="H11" t="str">
        <f t="shared" si="0"/>
        <v>Ahmed Raza</v>
      </c>
      <c r="I11" t="str">
        <v>Karachi</v>
      </c>
      <c r="J11" t="str">
        <v>30000</v>
      </c>
      <c r="K11" s="4">
        <f t="shared" si="1"/>
        <v>46183</v>
      </c>
    </row>
    <row r="12" spans="1:11">
      <c r="A12" t="s">
        <v>56</v>
      </c>
      <c r="B12" t="s">
        <v>18</v>
      </c>
      <c r="C12" t="s">
        <v>19</v>
      </c>
      <c r="D12" t="s">
        <v>14</v>
      </c>
      <c r="E12" s="4" t="s">
        <v>57</v>
      </c>
      <c r="F12">
        <v>1</v>
      </c>
      <c r="G12" s="3" t="s">
        <v>58</v>
      </c>
      <c r="H12" t="str">
        <f t="shared" si="0"/>
        <v>Zain Malik</v>
      </c>
      <c r="I12" t="str">
        <v>Lahore</v>
      </c>
      <c r="J12" t="str">
        <v>80000</v>
      </c>
      <c r="K12" s="4">
        <f t="shared" si="1"/>
        <v>46271</v>
      </c>
    </row>
    <row r="13" spans="1:11">
      <c r="A13" t="s">
        <v>59</v>
      </c>
      <c r="B13" t="s">
        <v>60</v>
      </c>
      <c r="C13" t="s">
        <v>25</v>
      </c>
      <c r="D13" t="s">
        <v>20</v>
      </c>
      <c r="E13" s="4" t="s">
        <v>61</v>
      </c>
      <c r="F13">
        <v>2</v>
      </c>
      <c r="G13" s="3" t="s">
        <v>55</v>
      </c>
      <c r="H13" t="str">
        <f t="shared" si="0"/>
        <v>Ayesha Noor</v>
      </c>
      <c r="I13" t="str">
        <v>Karachi</v>
      </c>
      <c r="J13" t="str">
        <v>30000</v>
      </c>
      <c r="K13" s="4">
        <f t="shared" si="1"/>
        <v>46212</v>
      </c>
    </row>
    <row r="14" spans="1:11">
      <c r="A14" t="s">
        <v>62</v>
      </c>
      <c r="B14" t="s">
        <v>63</v>
      </c>
      <c r="C14" t="s">
        <v>64</v>
      </c>
      <c r="D14" t="s">
        <v>35</v>
      </c>
      <c r="E14" s="4" t="s">
        <v>65</v>
      </c>
      <c r="F14">
        <v>6</v>
      </c>
      <c r="G14" s="3" t="s">
        <v>42</v>
      </c>
      <c r="H14" t="str">
        <f t="shared" si="0"/>
        <v>Hira Shah</v>
      </c>
      <c r="I14" t="str">
        <v>Islamabad</v>
      </c>
      <c r="J14" t="str">
        <v>4500</v>
      </c>
      <c r="K14" s="4">
        <f t="shared" si="1"/>
        <v>46302</v>
      </c>
    </row>
    <row r="15" spans="1:11">
      <c r="A15" t="s">
        <v>66</v>
      </c>
      <c r="B15" t="s">
        <v>67</v>
      </c>
      <c r="C15" t="s">
        <v>19</v>
      </c>
      <c r="D15" t="s">
        <v>35</v>
      </c>
      <c r="E15" s="4" t="s">
        <v>68</v>
      </c>
      <c r="F15">
        <v>4</v>
      </c>
      <c r="G15" s="3" t="s">
        <v>42</v>
      </c>
      <c r="H15" t="str">
        <f t="shared" si="0"/>
        <v>Sara Ahmed</v>
      </c>
      <c r="I15" t="str">
        <v>Lahore</v>
      </c>
      <c r="J15" t="str">
        <v>4500</v>
      </c>
      <c r="K15" s="4">
        <f t="shared" si="1"/>
        <v>46243</v>
      </c>
    </row>
    <row r="16" spans="1:11">
      <c r="A16" t="s">
        <v>69</v>
      </c>
      <c r="B16" t="s">
        <v>18</v>
      </c>
      <c r="C16" t="s">
        <v>19</v>
      </c>
      <c r="D16" t="s">
        <v>14</v>
      </c>
      <c r="E16" s="4" t="s">
        <v>70</v>
      </c>
      <c r="F16">
        <v>1</v>
      </c>
      <c r="G16" s="3" t="s">
        <v>58</v>
      </c>
      <c r="H16" t="str">
        <f t="shared" si="0"/>
        <v>Zain Malik</v>
      </c>
      <c r="I16" t="str">
        <v>Lahore</v>
      </c>
      <c r="J16" t="str">
        <v>80000</v>
      </c>
      <c r="K16" s="4">
        <f t="shared" si="1"/>
        <v>46244</v>
      </c>
    </row>
    <row r="17" spans="1:11">
      <c r="A17" t="s">
        <v>71</v>
      </c>
      <c r="B17" t="s">
        <v>60</v>
      </c>
      <c r="C17" t="s">
        <v>13</v>
      </c>
      <c r="D17" t="s">
        <v>26</v>
      </c>
      <c r="E17" s="4" t="s">
        <v>72</v>
      </c>
      <c r="F17">
        <v>9</v>
      </c>
      <c r="G17" s="3" t="s">
        <v>28</v>
      </c>
      <c r="H17" t="str">
        <f t="shared" si="0"/>
        <v>Ayesha Noor</v>
      </c>
      <c r="I17" t="str">
        <v>Karachi</v>
      </c>
      <c r="J17" t="str">
        <v>2500</v>
      </c>
      <c r="K17" s="4">
        <f t="shared" si="1"/>
        <v>46304</v>
      </c>
    </row>
    <row r="18" spans="1:11">
      <c r="A18" t="s">
        <v>73</v>
      </c>
      <c r="B18" t="s">
        <v>39</v>
      </c>
      <c r="C18" t="s">
        <v>64</v>
      </c>
      <c r="D18" t="s">
        <v>14</v>
      </c>
      <c r="E18" s="4" t="s">
        <v>74</v>
      </c>
      <c r="F18">
        <v>2</v>
      </c>
      <c r="G18" s="3" t="s">
        <v>16</v>
      </c>
      <c r="H18" t="str">
        <f t="shared" si="0"/>
        <v>Hamza Ali</v>
      </c>
      <c r="I18" t="str">
        <v>Islamabad</v>
      </c>
      <c r="J18" t="str">
        <v>80000</v>
      </c>
      <c r="K18" s="4">
        <f t="shared" si="1"/>
        <v>46274</v>
      </c>
    </row>
    <row r="19" spans="1:11">
      <c r="A19" t="s">
        <v>75</v>
      </c>
      <c r="B19" t="s">
        <v>76</v>
      </c>
      <c r="C19" t="s">
        <v>13</v>
      </c>
      <c r="D19" t="s">
        <v>26</v>
      </c>
      <c r="E19" s="4" t="s">
        <v>77</v>
      </c>
      <c r="F19">
        <v>10</v>
      </c>
      <c r="G19" s="3" t="s">
        <v>28</v>
      </c>
      <c r="H19" t="str">
        <f t="shared" si="0"/>
        <v>Ahmed Raza</v>
      </c>
      <c r="I19" t="str">
        <v>Karachi</v>
      </c>
      <c r="J19" t="str">
        <v>2500</v>
      </c>
      <c r="K19" s="4">
        <f t="shared" si="1"/>
        <v>46304</v>
      </c>
    </row>
    <row r="20" spans="1:11">
      <c r="A20" t="s">
        <v>78</v>
      </c>
      <c r="B20" t="s">
        <v>39</v>
      </c>
      <c r="C20" t="s">
        <v>64</v>
      </c>
      <c r="D20" t="s">
        <v>20</v>
      </c>
      <c r="E20" s="4" t="s">
        <v>79</v>
      </c>
      <c r="F20">
        <v>2</v>
      </c>
      <c r="G20" s="3" t="s">
        <v>55</v>
      </c>
      <c r="H20" t="str">
        <f t="shared" si="0"/>
        <v>Hamza Ali</v>
      </c>
      <c r="I20" t="str">
        <v>Islamabad</v>
      </c>
      <c r="J20" t="str">
        <v>30000</v>
      </c>
      <c r="K20" s="4">
        <f t="shared" si="1"/>
        <v>46305</v>
      </c>
    </row>
    <row r="21" spans="1:11">
      <c r="A21" t="s">
        <v>80</v>
      </c>
      <c r="B21" t="s">
        <v>81</v>
      </c>
      <c r="C21" t="s">
        <v>13</v>
      </c>
      <c r="D21" t="s">
        <v>35</v>
      </c>
      <c r="E21" s="4" t="s">
        <v>82</v>
      </c>
      <c r="F21">
        <v>5</v>
      </c>
      <c r="G21" s="3" t="s">
        <v>42</v>
      </c>
      <c r="H21" t="str">
        <f t="shared" si="0"/>
        <v>Ali Khan</v>
      </c>
      <c r="I21" t="str">
        <v>Karachi</v>
      </c>
      <c r="J21" t="str">
        <v>4500</v>
      </c>
      <c r="K21" s="4">
        <f t="shared" si="1"/>
        <v>46306</v>
      </c>
    </row>
    <row r="22" spans="1:11">
      <c r="A22" t="s">
        <v>83</v>
      </c>
      <c r="B22" t="s">
        <v>63</v>
      </c>
      <c r="C22" t="s">
        <v>64</v>
      </c>
      <c r="D22" t="s">
        <v>35</v>
      </c>
      <c r="E22" s="4" t="s">
        <v>84</v>
      </c>
      <c r="F22">
        <v>7</v>
      </c>
      <c r="G22" s="3" t="s">
        <v>42</v>
      </c>
      <c r="H22" t="str">
        <f t="shared" si="0"/>
        <v>Hira Shah</v>
      </c>
      <c r="I22" t="str">
        <v>Islamabad</v>
      </c>
      <c r="J22" t="str">
        <v>4500</v>
      </c>
      <c r="K22" s="4">
        <f t="shared" si="1"/>
        <v>46276</v>
      </c>
    </row>
    <row r="23" spans="1:11">
      <c r="A23" t="s">
        <v>85</v>
      </c>
      <c r="B23" t="s">
        <v>18</v>
      </c>
      <c r="C23" t="s">
        <v>19</v>
      </c>
      <c r="D23" t="s">
        <v>20</v>
      </c>
      <c r="E23" s="4" t="s">
        <v>86</v>
      </c>
      <c r="F23">
        <v>2</v>
      </c>
      <c r="G23" s="3" t="s">
        <v>55</v>
      </c>
      <c r="H23" t="str">
        <f t="shared" si="0"/>
        <v>Zain Malik</v>
      </c>
      <c r="I23" t="str">
        <v>Lahore</v>
      </c>
      <c r="J23" t="str">
        <v>30000</v>
      </c>
      <c r="K23" s="4">
        <f t="shared" si="1"/>
        <v>46365</v>
      </c>
    </row>
    <row r="24" spans="1:11">
      <c r="A24" t="s">
        <v>87</v>
      </c>
      <c r="B24" t="s">
        <v>67</v>
      </c>
      <c r="C24" t="s">
        <v>19</v>
      </c>
      <c r="D24" t="s">
        <v>14</v>
      </c>
      <c r="E24" s="4" t="s">
        <v>88</v>
      </c>
      <c r="F24">
        <v>2</v>
      </c>
      <c r="G24" s="3" t="s">
        <v>16</v>
      </c>
      <c r="H24" t="str">
        <f t="shared" si="0"/>
        <v>Sara Ahmed</v>
      </c>
      <c r="I24" t="str">
        <v>Lahore</v>
      </c>
      <c r="J24" t="str">
        <v>80000</v>
      </c>
      <c r="K24" s="4">
        <f t="shared" si="1"/>
        <v>46366</v>
      </c>
    </row>
    <row r="25" spans="1:11">
      <c r="A25" t="s">
        <v>89</v>
      </c>
      <c r="B25" t="s">
        <v>53</v>
      </c>
      <c r="C25" t="s">
        <v>13</v>
      </c>
      <c r="D25" t="s">
        <v>26</v>
      </c>
      <c r="E25" s="4" t="s">
        <v>90</v>
      </c>
      <c r="F25">
        <v>1</v>
      </c>
      <c r="G25" s="3" t="s">
        <v>28</v>
      </c>
      <c r="H25" t="str">
        <f t="shared" si="0"/>
        <v>Ahmed Raza</v>
      </c>
      <c r="I25" t="str">
        <v>Karachi</v>
      </c>
      <c r="J25" t="str">
        <v>2500</v>
      </c>
      <c r="K25" s="4">
        <f t="shared" si="1"/>
        <v>46308</v>
      </c>
    </row>
    <row r="26" spans="1:11">
      <c r="A26" t="s">
        <v>91</v>
      </c>
      <c r="B26" t="s">
        <v>60</v>
      </c>
      <c r="C26" t="s">
        <v>13</v>
      </c>
      <c r="D26" t="s">
        <v>14</v>
      </c>
      <c r="E26" s="4" t="s">
        <v>92</v>
      </c>
      <c r="F26">
        <v>1</v>
      </c>
      <c r="G26" s="3" t="s">
        <v>16</v>
      </c>
      <c r="H26" t="str">
        <f t="shared" si="0"/>
        <v>Ayesha Noor</v>
      </c>
      <c r="I26" t="str">
        <v>Karachi</v>
      </c>
      <c r="J26" t="str">
        <v>80000</v>
      </c>
      <c r="K26" s="4">
        <f t="shared" si="1"/>
        <v>46278</v>
      </c>
    </row>
    <row r="27" spans="1:11">
      <c r="A27" t="s">
        <v>93</v>
      </c>
      <c r="B27" t="s">
        <v>39</v>
      </c>
      <c r="C27" t="s">
        <v>64</v>
      </c>
      <c r="D27" t="s">
        <v>26</v>
      </c>
      <c r="E27" s="4" t="s">
        <v>94</v>
      </c>
      <c r="F27">
        <v>12</v>
      </c>
      <c r="G27" s="3" t="s">
        <v>28</v>
      </c>
      <c r="H27" t="str">
        <f t="shared" si="0"/>
        <v>Hamza Ali</v>
      </c>
      <c r="I27" t="str">
        <v>Islamabad</v>
      </c>
      <c r="J27" t="str">
        <v>2500</v>
      </c>
      <c r="K27" s="4">
        <f t="shared" si="1"/>
        <v>46279</v>
      </c>
    </row>
    <row r="28" spans="1:11">
      <c r="A28" t="s">
        <v>95</v>
      </c>
      <c r="B28" t="s">
        <v>63</v>
      </c>
      <c r="C28" t="s">
        <v>64</v>
      </c>
      <c r="D28" t="s">
        <v>20</v>
      </c>
      <c r="E28" s="4" t="s">
        <v>96</v>
      </c>
      <c r="F28">
        <v>3</v>
      </c>
      <c r="G28" s="3" t="s">
        <v>55</v>
      </c>
      <c r="H28" t="str">
        <f t="shared" si="0"/>
        <v>Hira Shah</v>
      </c>
      <c r="I28" t="str">
        <v>Islamabad</v>
      </c>
      <c r="J28" t="str">
        <v>30000</v>
      </c>
      <c r="K28" s="4">
        <f t="shared" si="1"/>
        <v>46309</v>
      </c>
    </row>
    <row r="29" spans="1:11">
      <c r="A29" t="s">
        <v>97</v>
      </c>
      <c r="B29" t="s">
        <v>18</v>
      </c>
      <c r="C29" t="s">
        <v>98</v>
      </c>
      <c r="D29" t="s">
        <v>35</v>
      </c>
      <c r="E29" s="4" t="s">
        <v>99</v>
      </c>
      <c r="F29">
        <v>7</v>
      </c>
      <c r="G29" s="3" t="s">
        <v>42</v>
      </c>
      <c r="H29" t="str">
        <f t="shared" si="0"/>
        <v>Zain Malik</v>
      </c>
      <c r="I29" t="str">
        <v>Lahore</v>
      </c>
      <c r="J29" t="str">
        <v>4500</v>
      </c>
      <c r="K29" s="4">
        <f t="shared" si="1"/>
        <v>46310</v>
      </c>
    </row>
    <row r="30" spans="1:11">
      <c r="A30" t="s">
        <v>100</v>
      </c>
      <c r="B30" t="s">
        <v>44</v>
      </c>
      <c r="C30" t="s">
        <v>13</v>
      </c>
      <c r="D30" t="s">
        <v>20</v>
      </c>
      <c r="E30" s="4" t="s">
        <v>101</v>
      </c>
      <c r="F30">
        <v>2</v>
      </c>
      <c r="G30" s="3" t="s">
        <v>55</v>
      </c>
      <c r="H30" t="str">
        <f t="shared" si="0"/>
        <v>Ali Khan</v>
      </c>
      <c r="I30" t="str">
        <v>Karachi</v>
      </c>
      <c r="J30" t="str">
        <v>30000</v>
      </c>
      <c r="K30" s="4">
        <f t="shared" si="1"/>
        <v>46280</v>
      </c>
    </row>
    <row r="31" spans="1:11">
      <c r="A31" t="s">
        <v>102</v>
      </c>
      <c r="B31" t="s">
        <v>67</v>
      </c>
      <c r="C31" t="s">
        <v>19</v>
      </c>
      <c r="D31" t="s">
        <v>14</v>
      </c>
      <c r="E31" s="4" t="s">
        <v>103</v>
      </c>
      <c r="F31">
        <v>1</v>
      </c>
      <c r="G31" s="3" t="s">
        <v>16</v>
      </c>
      <c r="H31" t="str">
        <f t="shared" si="0"/>
        <v>Sara Ahmed</v>
      </c>
      <c r="I31" t="str">
        <v>Lahore</v>
      </c>
      <c r="J31" t="str">
        <v>80000</v>
      </c>
      <c r="K31" s="4">
        <f t="shared" si="1"/>
        <v>46281</v>
      </c>
    </row>
    <row r="32" spans="1:11">
      <c r="A32" t="s">
        <v>104</v>
      </c>
      <c r="B32" t="s">
        <v>60</v>
      </c>
      <c r="C32" t="s">
        <v>13</v>
      </c>
      <c r="D32" t="s">
        <v>14</v>
      </c>
      <c r="E32" s="4" t="s">
        <v>105</v>
      </c>
      <c r="F32">
        <v>1</v>
      </c>
      <c r="G32" s="3" t="s">
        <v>16</v>
      </c>
      <c r="H32" t="str">
        <f t="shared" si="0"/>
        <v>Ayesha Noor</v>
      </c>
      <c r="I32" t="str">
        <v>Karachi</v>
      </c>
      <c r="J32" t="str">
        <v>80000</v>
      </c>
      <c r="K32" s="4">
        <f t="shared" si="1"/>
        <v>46311</v>
      </c>
    </row>
    <row r="33" spans="1:11">
      <c r="A33" t="s">
        <v>106</v>
      </c>
      <c r="B33" t="s">
        <v>39</v>
      </c>
      <c r="C33" t="s">
        <v>64</v>
      </c>
      <c r="D33" t="s">
        <v>26</v>
      </c>
      <c r="E33" s="4" t="s">
        <v>107</v>
      </c>
      <c r="F33">
        <v>13</v>
      </c>
      <c r="G33" s="3" t="s">
        <v>28</v>
      </c>
      <c r="H33" t="str">
        <f t="shared" si="0"/>
        <v>Hamza Ali</v>
      </c>
      <c r="I33" t="str">
        <v>Islamabad</v>
      </c>
      <c r="J33" t="str">
        <v>2500</v>
      </c>
      <c r="K33" s="4">
        <f t="shared" si="1"/>
        <v>46312</v>
      </c>
    </row>
    <row r="34" spans="1:11">
      <c r="A34" t="s">
        <v>108</v>
      </c>
      <c r="B34" t="s">
        <v>18</v>
      </c>
      <c r="C34" t="s">
        <v>19</v>
      </c>
      <c r="D34" t="s">
        <v>26</v>
      </c>
      <c r="E34" s="4" t="s">
        <v>109</v>
      </c>
      <c r="F34">
        <v>5</v>
      </c>
      <c r="G34" s="3" t="s">
        <v>51</v>
      </c>
      <c r="H34" t="str">
        <f t="shared" si="0"/>
        <v>Zain Malik</v>
      </c>
      <c r="I34" t="str">
        <v>Lahore</v>
      </c>
      <c r="J34" t="str">
        <v>2500</v>
      </c>
      <c r="K34" s="4">
        <f t="shared" si="1"/>
        <v>46282</v>
      </c>
    </row>
    <row r="35" spans="1:11">
      <c r="A35" t="s">
        <v>110</v>
      </c>
      <c r="B35" t="s">
        <v>60</v>
      </c>
      <c r="C35" t="s">
        <v>13</v>
      </c>
      <c r="D35" t="s">
        <v>35</v>
      </c>
      <c r="E35" s="4" t="s">
        <v>111</v>
      </c>
      <c r="F35">
        <v>4</v>
      </c>
      <c r="G35" s="3" t="s">
        <v>42</v>
      </c>
      <c r="H35" t="str">
        <f t="shared" si="0"/>
        <v>Ayesha Noor</v>
      </c>
      <c r="I35" t="str">
        <v>Karachi</v>
      </c>
      <c r="J35" t="str">
        <v>4500</v>
      </c>
      <c r="K35" s="4">
        <f t="shared" si="1"/>
        <v>46283</v>
      </c>
    </row>
    <row r="36" spans="1:11">
      <c r="A36" t="s">
        <v>112</v>
      </c>
      <c r="B36" t="s">
        <v>44</v>
      </c>
      <c r="C36" t="s">
        <v>113</v>
      </c>
      <c r="D36" t="s">
        <v>20</v>
      </c>
      <c r="E36" s="4" t="s">
        <v>114</v>
      </c>
      <c r="F36">
        <v>2</v>
      </c>
      <c r="G36" s="3" t="s">
        <v>55</v>
      </c>
      <c r="H36" t="str">
        <f t="shared" si="0"/>
        <v>Ali Khan</v>
      </c>
      <c r="I36" t="str">
        <v>Karachi</v>
      </c>
      <c r="J36" t="str">
        <v>30000</v>
      </c>
      <c r="K36" s="4">
        <f t="shared" si="1"/>
        <v>46313</v>
      </c>
    </row>
    <row r="37" spans="1:11">
      <c r="A37" t="s">
        <v>115</v>
      </c>
      <c r="B37" t="s">
        <v>67</v>
      </c>
      <c r="C37" t="s">
        <v>19</v>
      </c>
      <c r="D37" t="s">
        <v>14</v>
      </c>
      <c r="E37" s="4" t="s">
        <v>116</v>
      </c>
      <c r="F37">
        <v>1</v>
      </c>
      <c r="G37" s="3" t="s">
        <v>16</v>
      </c>
      <c r="H37" t="str">
        <f t="shared" si="0"/>
        <v>Sara Ahmed</v>
      </c>
      <c r="I37" t="str">
        <v>Lahore</v>
      </c>
      <c r="J37" t="str">
        <v>80000</v>
      </c>
      <c r="K37" s="4">
        <f t="shared" si="1"/>
        <v>46314</v>
      </c>
    </row>
    <row r="38" spans="1:11">
      <c r="A38" t="s">
        <v>117</v>
      </c>
      <c r="B38" t="s">
        <v>39</v>
      </c>
      <c r="C38" t="s">
        <v>64</v>
      </c>
      <c r="D38" t="s">
        <v>20</v>
      </c>
      <c r="E38" s="4" t="s">
        <v>118</v>
      </c>
      <c r="F38">
        <v>2</v>
      </c>
      <c r="G38" s="3" t="s">
        <v>55</v>
      </c>
      <c r="H38" t="str">
        <f t="shared" si="0"/>
        <v>Hamza Ali</v>
      </c>
      <c r="I38" t="str">
        <v>Islamabad</v>
      </c>
      <c r="J38" t="str">
        <v>30000</v>
      </c>
      <c r="K38" s="4">
        <f t="shared" si="1"/>
        <v>46284</v>
      </c>
    </row>
    <row r="39" spans="1:11">
      <c r="A39" t="s">
        <v>119</v>
      </c>
      <c r="B39" t="s">
        <v>120</v>
      </c>
      <c r="C39" t="s">
        <v>13</v>
      </c>
      <c r="D39" t="s">
        <v>14</v>
      </c>
      <c r="E39" s="4" t="s">
        <v>121</v>
      </c>
      <c r="F39">
        <v>2</v>
      </c>
      <c r="G39" s="3" t="s">
        <v>16</v>
      </c>
      <c r="H39" t="str">
        <f t="shared" si="0"/>
        <v>Ali Khan</v>
      </c>
      <c r="I39" t="str">
        <v>Karachi</v>
      </c>
      <c r="J39" t="str">
        <v>80000</v>
      </c>
      <c r="K39" s="4">
        <f t="shared" si="1"/>
        <v>46285</v>
      </c>
    </row>
    <row r="40" spans="1:11">
      <c r="A40" t="s">
        <v>122</v>
      </c>
      <c r="B40" t="s">
        <v>123</v>
      </c>
      <c r="C40" t="s">
        <v>124</v>
      </c>
      <c r="D40" t="s">
        <v>26</v>
      </c>
      <c r="E40" s="4" t="s">
        <v>125</v>
      </c>
      <c r="F40">
        <v>9</v>
      </c>
      <c r="G40" s="3" t="s">
        <v>28</v>
      </c>
      <c r="H40" t="str">
        <f t="shared" si="0"/>
        <v>Sara Ahmed</v>
      </c>
      <c r="I40" t="str">
        <v>Lahore</v>
      </c>
      <c r="J40" t="str">
        <v>2500</v>
      </c>
      <c r="K40" s="4">
        <f t="shared" si="1"/>
        <v>46286</v>
      </c>
    </row>
    <row r="41" spans="1:11">
      <c r="A41" t="s">
        <v>126</v>
      </c>
      <c r="B41" t="s">
        <v>127</v>
      </c>
      <c r="C41" t="s">
        <v>13</v>
      </c>
      <c r="D41" t="s">
        <v>14</v>
      </c>
      <c r="E41" s="4" t="s">
        <v>128</v>
      </c>
      <c r="F41">
        <v>1</v>
      </c>
      <c r="G41" s="3" t="s">
        <v>58</v>
      </c>
      <c r="H41" t="str">
        <f t="shared" si="0"/>
        <v>Ahmed Raza</v>
      </c>
      <c r="I41" t="str">
        <v>Karachi</v>
      </c>
      <c r="J41" t="str">
        <v>80000</v>
      </c>
      <c r="K41" s="4">
        <f t="shared" si="1"/>
        <v>46287</v>
      </c>
    </row>
    <row r="42" spans="1:11">
      <c r="A42" t="s">
        <v>129</v>
      </c>
      <c r="B42" t="s">
        <v>63</v>
      </c>
      <c r="C42" t="s">
        <v>130</v>
      </c>
      <c r="D42" t="s">
        <v>26</v>
      </c>
      <c r="E42" s="4" t="s">
        <v>131</v>
      </c>
      <c r="F42">
        <v>6</v>
      </c>
      <c r="G42" s="3" t="s">
        <v>51</v>
      </c>
      <c r="H42" t="str">
        <f t="shared" si="0"/>
        <v>Hira Shah</v>
      </c>
      <c r="I42" t="str">
        <v>Islamabad</v>
      </c>
      <c r="J42" t="str">
        <v>2500</v>
      </c>
      <c r="K42" s="4">
        <f t="shared" si="1"/>
        <v>46288</v>
      </c>
    </row>
    <row r="43" spans="1:11">
      <c r="A43" t="s">
        <v>132</v>
      </c>
      <c r="B43" t="s">
        <v>133</v>
      </c>
      <c r="C43" t="s">
        <v>19</v>
      </c>
      <c r="D43" t="s">
        <v>35</v>
      </c>
      <c r="E43" s="4" t="s">
        <v>134</v>
      </c>
      <c r="F43">
        <v>3</v>
      </c>
      <c r="G43" s="3" t="s">
        <v>42</v>
      </c>
      <c r="H43" t="str">
        <f t="shared" si="0"/>
        <v>Zain Malik</v>
      </c>
      <c r="I43" t="str">
        <v>Lahore</v>
      </c>
      <c r="J43" t="str">
        <v>4500</v>
      </c>
      <c r="K43" s="4">
        <f t="shared" si="1"/>
        <v>46289</v>
      </c>
    </row>
    <row r="44" spans="1:11">
      <c r="A44" t="s">
        <v>135</v>
      </c>
      <c r="B44" t="s">
        <v>60</v>
      </c>
      <c r="C44" t="s">
        <v>136</v>
      </c>
      <c r="D44" t="s">
        <v>14</v>
      </c>
      <c r="E44" s="4" t="s">
        <v>137</v>
      </c>
      <c r="F44">
        <v>2</v>
      </c>
      <c r="G44" s="3" t="s">
        <v>16</v>
      </c>
      <c r="H44" t="str">
        <f t="shared" si="0"/>
        <v>Ayesha Noor</v>
      </c>
      <c r="I44" t="str">
        <v>Karachi</v>
      </c>
      <c r="J44" t="str">
        <v>80000</v>
      </c>
      <c r="K44" s="4">
        <f t="shared" si="1"/>
        <v>46290</v>
      </c>
    </row>
    <row r="45" spans="1:11">
      <c r="A45" t="s">
        <v>138</v>
      </c>
      <c r="B45" t="s">
        <v>39</v>
      </c>
      <c r="C45" t="s">
        <v>64</v>
      </c>
      <c r="D45" t="s">
        <v>26</v>
      </c>
      <c r="E45" s="4" t="s">
        <v>139</v>
      </c>
      <c r="F45">
        <v>7</v>
      </c>
      <c r="G45" s="3" t="s">
        <v>28</v>
      </c>
      <c r="H45" t="str">
        <f t="shared" si="0"/>
        <v>Hamza Ali</v>
      </c>
      <c r="I45" t="str">
        <v>Islamabad</v>
      </c>
      <c r="J45" t="str">
        <v>2500</v>
      </c>
      <c r="K45" s="4">
        <f t="shared" si="1"/>
        <v>46291</v>
      </c>
    </row>
    <row r="46" spans="1:11">
      <c r="A46" t="s">
        <v>140</v>
      </c>
      <c r="B46" t="s">
        <v>141</v>
      </c>
      <c r="C46" t="s">
        <v>13</v>
      </c>
      <c r="D46" t="s">
        <v>35</v>
      </c>
      <c r="E46" s="4" t="s">
        <v>142</v>
      </c>
      <c r="F46">
        <v>5</v>
      </c>
      <c r="G46" s="3" t="s">
        <v>37</v>
      </c>
      <c r="H46" t="str">
        <f t="shared" si="0"/>
        <v>Ali Khan</v>
      </c>
      <c r="I46" t="str">
        <v>Karachi</v>
      </c>
      <c r="J46" t="str">
        <v>4500</v>
      </c>
      <c r="K46" s="4">
        <f t="shared" si="1"/>
        <v>46292</v>
      </c>
    </row>
    <row r="47" spans="1:11">
      <c r="A47" t="s">
        <v>143</v>
      </c>
      <c r="B47" t="s">
        <v>67</v>
      </c>
      <c r="C47" t="s">
        <v>19</v>
      </c>
      <c r="D47" t="s">
        <v>20</v>
      </c>
      <c r="E47" s="4" t="s">
        <v>144</v>
      </c>
      <c r="F47">
        <v>1</v>
      </c>
      <c r="G47" s="3" t="s">
        <v>55</v>
      </c>
      <c r="H47" t="str">
        <f t="shared" si="0"/>
        <v>Sara Ahmed</v>
      </c>
      <c r="I47" t="str">
        <v>Lahore</v>
      </c>
      <c r="J47" t="str">
        <v>30000</v>
      </c>
      <c r="K47" s="4">
        <f t="shared" si="1"/>
        <v>46293</v>
      </c>
    </row>
    <row r="48" spans="1:11">
      <c r="A48" t="s">
        <v>145</v>
      </c>
      <c r="B48" t="s">
        <v>53</v>
      </c>
      <c r="C48" t="s">
        <v>13</v>
      </c>
      <c r="D48" t="s">
        <v>26</v>
      </c>
      <c r="E48" s="4" t="s">
        <v>146</v>
      </c>
      <c r="F48">
        <v>11</v>
      </c>
      <c r="G48" s="3" t="s">
        <v>28</v>
      </c>
      <c r="H48" t="str">
        <f t="shared" si="0"/>
        <v>Ahmed Raza</v>
      </c>
      <c r="I48" t="str">
        <v>Karachi</v>
      </c>
      <c r="J48" t="str">
        <v>2500</v>
      </c>
      <c r="K48" s="4">
        <f t="shared" si="1"/>
        <v>46294</v>
      </c>
    </row>
    <row r="49" spans="1:11">
      <c r="A49" t="s">
        <v>147</v>
      </c>
      <c r="B49" t="s">
        <v>63</v>
      </c>
      <c r="C49" t="s">
        <v>64</v>
      </c>
      <c r="D49" t="s">
        <v>14</v>
      </c>
      <c r="E49" s="4" t="s">
        <v>148</v>
      </c>
      <c r="F49">
        <v>2</v>
      </c>
      <c r="G49" s="3" t="s">
        <v>16</v>
      </c>
      <c r="H49" t="str">
        <f t="shared" si="0"/>
        <v>Hira Shah</v>
      </c>
      <c r="I49" t="str">
        <v>Islamabad</v>
      </c>
      <c r="J49" t="str">
        <v>80000</v>
      </c>
      <c r="K49" s="4">
        <f t="shared" si="1"/>
        <v>46295</v>
      </c>
    </row>
    <row r="50" spans="1:11">
      <c r="A50" t="s">
        <v>149</v>
      </c>
      <c r="B50" t="s">
        <v>150</v>
      </c>
      <c r="C50" t="s">
        <v>40</v>
      </c>
      <c r="D50" t="s">
        <v>20</v>
      </c>
      <c r="E50" s="4" t="s">
        <v>151</v>
      </c>
      <c r="F50">
        <v>3</v>
      </c>
      <c r="G50" s="3" t="s">
        <v>55</v>
      </c>
      <c r="H50" t="str">
        <f t="shared" si="0"/>
        <v>Hira Shah</v>
      </c>
      <c r="I50" t="str">
        <v>Islamabad</v>
      </c>
      <c r="J50" t="str">
        <v>30000</v>
      </c>
      <c r="K50" s="4">
        <f t="shared" si="1"/>
        <v>46269</v>
      </c>
    </row>
  </sheetData>
  <dataValidations count="1">
    <dataValidation type="whole" allowBlank="1" showInputMessage="1" showErrorMessage="1" sqref="F1:F1048576" xr:uid="{642BD934-FB98-49A5-B5D5-AF534866C970}">
      <formula1>1</formula1>
      <formula2>50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2026-09-23T16:24:10Z</dcterms:created>
  <dcterms:modified xsi:type="dcterms:W3CDTF">2026-09-23T17:58:45Z</dcterms:modified>
  <cp:category/>
  <cp:contentStatus/>
</cp:coreProperties>
</file>